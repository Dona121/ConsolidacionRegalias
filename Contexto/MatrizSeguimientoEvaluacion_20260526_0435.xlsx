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Donaldo Acosta\Documents\MEGA\Estudio\python\Consolidacion Regalias\Contexto\"/>
    </mc:Choice>
  </mc:AlternateContent>
  <xr:revisionPtr revIDLastSave="0" documentId="13_ncr:1_{0DD2E4ED-AFAA-4DEB-A728-F6CCCEE61960}" xr6:coauthVersionLast="47" xr6:coauthVersionMax="47" xr10:uidLastSave="{00000000-0000-0000-0000-000000000000}"/>
  <bookViews>
    <workbookView xWindow="-108" yWindow="-108" windowWidth="23256" windowHeight="12456" firstSheet="2" activeTab="4" xr2:uid="{00000000-000D-0000-FFFF-FFFF00000000}"/>
  </bookViews>
  <sheets>
    <sheet name="ListadoMunicipios" sheetId="5" r:id="rId1"/>
    <sheet name="Ajustes" sheetId="4" r:id="rId2"/>
    <sheet name="MatrizSeguimientoEvaluacion" sheetId="1" r:id="rId3"/>
    <sheet name="BPINes" sheetId="6" r:id="rId4"/>
    <sheet name="OtrosEjecutoresDescentralizadas" sheetId="2" r:id="rId5"/>
    <sheet name="OtrosEjecutoresMunicipios"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 i="2" l="1"/>
  <c r="AM4" i="2"/>
  <c r="AM5" i="2"/>
  <c r="AM6" i="2"/>
  <c r="AM7" i="2"/>
  <c r="AM8" i="2"/>
  <c r="AM9" i="2"/>
  <c r="AM10" i="2"/>
  <c r="AM11" i="2"/>
  <c r="AM12" i="2"/>
  <c r="AM13" i="2"/>
  <c r="AM14" i="2"/>
  <c r="AM15" i="2"/>
  <c r="AM16" i="2"/>
  <c r="AM17" i="2"/>
  <c r="AM18" i="2"/>
  <c r="AW3" i="1"/>
  <c r="AW4" i="1"/>
  <c r="AW5" i="1"/>
  <c r="AW6" i="1"/>
  <c r="AW7" i="1"/>
  <c r="AW8" i="1"/>
  <c r="AW9" i="1"/>
  <c r="AW10" i="1"/>
  <c r="AW11" i="1"/>
  <c r="AW12" i="1"/>
  <c r="AW13" i="1"/>
  <c r="AW14" i="1"/>
  <c r="AW15" i="1"/>
  <c r="AW16" i="1"/>
  <c r="AW17" i="1"/>
  <c r="AW18" i="1"/>
  <c r="AW19" i="1"/>
  <c r="AW20" i="1"/>
  <c r="AW21" i="1"/>
  <c r="AW23" i="1"/>
  <c r="AW24" i="1"/>
  <c r="AW25" i="1"/>
  <c r="AW27" i="1"/>
  <c r="AW28" i="1"/>
  <c r="AW29" i="1"/>
  <c r="AW30" i="1"/>
  <c r="AW31" i="1"/>
  <c r="AW32" i="1"/>
  <c r="AW33" i="1"/>
  <c r="AW34" i="1"/>
  <c r="AW35" i="1"/>
  <c r="AW37" i="1"/>
  <c r="AW39" i="1"/>
  <c r="AW41" i="1"/>
  <c r="AW43" i="1"/>
  <c r="AW44" i="1"/>
  <c r="AW46" i="1"/>
  <c r="AW47" i="1"/>
  <c r="AW48" i="1"/>
  <c r="AW49" i="1"/>
  <c r="AW50" i="1"/>
  <c r="AW53" i="1"/>
  <c r="AW54" i="1"/>
  <c r="AW56" i="1"/>
  <c r="AW57" i="1"/>
  <c r="AW58" i="1"/>
  <c r="AW59" i="1"/>
  <c r="AL18" i="2" l="1"/>
  <c r="AG18" i="2"/>
  <c r="AF18" i="2"/>
  <c r="AE18" i="2"/>
  <c r="AD18" i="2"/>
  <c r="AL17" i="2"/>
  <c r="AG17" i="2"/>
  <c r="AF17" i="2"/>
  <c r="AE17" i="2"/>
  <c r="AD17" i="2"/>
  <c r="AL16" i="2"/>
  <c r="AG16" i="2"/>
  <c r="AF16" i="2"/>
  <c r="AE16" i="2"/>
  <c r="AD16" i="2"/>
  <c r="AL15" i="2"/>
  <c r="AG15" i="2"/>
  <c r="AF15" i="2"/>
  <c r="AE15" i="2"/>
  <c r="AD15" i="2"/>
  <c r="AL14" i="2"/>
  <c r="AG14" i="2"/>
  <c r="AF14" i="2"/>
  <c r="AE14" i="2"/>
  <c r="AD14" i="2"/>
  <c r="AL13" i="2"/>
  <c r="AG13" i="2"/>
  <c r="AF13" i="2"/>
  <c r="AE13" i="2"/>
  <c r="AD13" i="2"/>
  <c r="AL12" i="2"/>
  <c r="AG12" i="2"/>
  <c r="AF12" i="2"/>
  <c r="AE12" i="2"/>
  <c r="AD12" i="2"/>
  <c r="AL11" i="2"/>
  <c r="AG11" i="2"/>
  <c r="AF11" i="2"/>
  <c r="AE11" i="2"/>
  <c r="AD11" i="2"/>
  <c r="AL10" i="2"/>
  <c r="AG10" i="2"/>
  <c r="AF10" i="2"/>
  <c r="AE10" i="2"/>
  <c r="AD10" i="2"/>
  <c r="AL9" i="2"/>
  <c r="AG9" i="2"/>
  <c r="AF9" i="2"/>
  <c r="AE9" i="2"/>
  <c r="AD9" i="2"/>
  <c r="AL8" i="2"/>
  <c r="AG8" i="2"/>
  <c r="AF8" i="2"/>
  <c r="AE8" i="2"/>
  <c r="AD8" i="2"/>
  <c r="AL7" i="2"/>
  <c r="AG7" i="2"/>
  <c r="AF7" i="2"/>
  <c r="AE7" i="2"/>
  <c r="AD7" i="2"/>
  <c r="AL6" i="2"/>
  <c r="AG6" i="2"/>
  <c r="AF6" i="2"/>
  <c r="AE6" i="2"/>
  <c r="AD6" i="2"/>
  <c r="AL5" i="2"/>
  <c r="AG5" i="2"/>
  <c r="AF5" i="2"/>
  <c r="AE5" i="2"/>
  <c r="AD5" i="2"/>
  <c r="AL4" i="2"/>
  <c r="AG4" i="2"/>
  <c r="AF4" i="2"/>
  <c r="AE4" i="2"/>
  <c r="AD4" i="2"/>
  <c r="AL3" i="2"/>
  <c r="AG3" i="2"/>
  <c r="AF3" i="2"/>
  <c r="AE3" i="2"/>
  <c r="AD3" i="2"/>
  <c r="AV59" i="1"/>
  <c r="AT59" i="1"/>
  <c r="AQ59" i="1"/>
  <c r="AP59" i="1"/>
  <c r="AO59" i="1"/>
  <c r="AN59" i="1"/>
  <c r="AV58" i="1"/>
  <c r="AT58" i="1"/>
  <c r="AQ58" i="1"/>
  <c r="AP58" i="1"/>
  <c r="AO58" i="1"/>
  <c r="AN58" i="1"/>
  <c r="AV57" i="1"/>
  <c r="AT57" i="1"/>
  <c r="AQ57" i="1"/>
  <c r="AP57" i="1"/>
  <c r="AO57" i="1"/>
  <c r="AN57" i="1"/>
  <c r="AV56" i="1"/>
  <c r="AT56" i="1"/>
  <c r="AQ56" i="1"/>
  <c r="AP56" i="1"/>
  <c r="AO56" i="1"/>
  <c r="AN56" i="1"/>
  <c r="AV55" i="1"/>
  <c r="AT55" i="1"/>
  <c r="AQ55" i="1"/>
  <c r="AP55" i="1"/>
  <c r="AO55" i="1"/>
  <c r="AN55" i="1"/>
  <c r="AW55" i="1" s="1"/>
  <c r="AV54" i="1"/>
  <c r="AT54" i="1"/>
  <c r="AQ54" i="1"/>
  <c r="AP54" i="1"/>
  <c r="AO54" i="1"/>
  <c r="AN54" i="1"/>
  <c r="AV53" i="1"/>
  <c r="AT53" i="1"/>
  <c r="AQ53" i="1"/>
  <c r="AP53" i="1"/>
  <c r="AO53" i="1"/>
  <c r="AN53" i="1"/>
  <c r="AV52" i="1"/>
  <c r="AT52" i="1"/>
  <c r="AQ52" i="1"/>
  <c r="AP52" i="1"/>
  <c r="AO52" i="1"/>
  <c r="AN52" i="1"/>
  <c r="AW52" i="1" s="1"/>
  <c r="AV51" i="1"/>
  <c r="AT51" i="1"/>
  <c r="AQ51" i="1"/>
  <c r="AP51" i="1"/>
  <c r="AO51" i="1"/>
  <c r="AN51" i="1"/>
  <c r="AV50" i="1"/>
  <c r="AT50" i="1"/>
  <c r="AQ50" i="1"/>
  <c r="AP50" i="1"/>
  <c r="AO50" i="1"/>
  <c r="AN50" i="1"/>
  <c r="AV49" i="1"/>
  <c r="AT49" i="1"/>
  <c r="AQ49" i="1"/>
  <c r="AP49" i="1"/>
  <c r="AO49" i="1"/>
  <c r="AN49" i="1"/>
  <c r="AV48" i="1"/>
  <c r="AT48" i="1"/>
  <c r="AQ48" i="1"/>
  <c r="AP48" i="1"/>
  <c r="AO48" i="1"/>
  <c r="AN48" i="1"/>
  <c r="AV47" i="1"/>
  <c r="AT47" i="1"/>
  <c r="AQ47" i="1"/>
  <c r="AP47" i="1"/>
  <c r="AO47" i="1"/>
  <c r="AN47" i="1"/>
  <c r="AV46" i="1"/>
  <c r="AT46" i="1"/>
  <c r="AQ46" i="1"/>
  <c r="AP46" i="1"/>
  <c r="AO46" i="1"/>
  <c r="AN46" i="1"/>
  <c r="AV45" i="1"/>
  <c r="AT45" i="1"/>
  <c r="AQ45" i="1"/>
  <c r="AP45" i="1"/>
  <c r="AO45" i="1"/>
  <c r="AN45" i="1"/>
  <c r="AW45" i="1" s="1"/>
  <c r="AV44" i="1"/>
  <c r="AT44" i="1"/>
  <c r="AP44" i="1"/>
  <c r="AQ44" i="1" s="1"/>
  <c r="AO44" i="1"/>
  <c r="AN44" i="1"/>
  <c r="AV43" i="1"/>
  <c r="AT43" i="1"/>
  <c r="AQ43" i="1"/>
  <c r="AP43" i="1"/>
  <c r="AO43" i="1"/>
  <c r="AN43" i="1"/>
  <c r="AV42" i="1"/>
  <c r="AT42" i="1"/>
  <c r="AQ42" i="1"/>
  <c r="AP42" i="1"/>
  <c r="AO42" i="1"/>
  <c r="AN42" i="1"/>
  <c r="AW42" i="1" s="1"/>
  <c r="AV41" i="1"/>
  <c r="AT41" i="1"/>
  <c r="AQ41" i="1"/>
  <c r="AP41" i="1"/>
  <c r="AO41" i="1"/>
  <c r="AN41" i="1"/>
  <c r="AV40" i="1"/>
  <c r="AT40" i="1"/>
  <c r="AQ40" i="1"/>
  <c r="AP40" i="1"/>
  <c r="AO40" i="1"/>
  <c r="AN40" i="1"/>
  <c r="AW40" i="1" s="1"/>
  <c r="AV39" i="1"/>
  <c r="AT39" i="1"/>
  <c r="AQ39" i="1"/>
  <c r="AP39" i="1"/>
  <c r="AO39" i="1"/>
  <c r="AN39" i="1"/>
  <c r="AV38" i="1"/>
  <c r="AT38" i="1"/>
  <c r="AP38" i="1"/>
  <c r="AQ38" i="1" s="1"/>
  <c r="AO38" i="1"/>
  <c r="AN38" i="1"/>
  <c r="AV37" i="1"/>
  <c r="AT37" i="1"/>
  <c r="AP37" i="1"/>
  <c r="AQ37" i="1" s="1"/>
  <c r="AO37" i="1"/>
  <c r="AN37" i="1"/>
  <c r="AV36" i="1"/>
  <c r="AT36" i="1"/>
  <c r="AQ36" i="1"/>
  <c r="AP36" i="1"/>
  <c r="AO36" i="1"/>
  <c r="AN36" i="1"/>
  <c r="AW36" i="1" s="1"/>
  <c r="AV35" i="1"/>
  <c r="AT35" i="1"/>
  <c r="AQ35" i="1"/>
  <c r="AP35" i="1"/>
  <c r="AO35" i="1"/>
  <c r="AN35" i="1"/>
  <c r="AV34" i="1"/>
  <c r="AT34" i="1"/>
  <c r="AQ34" i="1"/>
  <c r="AP34" i="1"/>
  <c r="AO34" i="1"/>
  <c r="AN34" i="1"/>
  <c r="AV33" i="1"/>
  <c r="AT33" i="1"/>
  <c r="AQ33" i="1"/>
  <c r="AP33" i="1"/>
  <c r="AO33" i="1"/>
  <c r="AN33" i="1"/>
  <c r="AV32" i="1"/>
  <c r="AT32" i="1"/>
  <c r="AP32" i="1"/>
  <c r="AQ32" i="1" s="1"/>
  <c r="AO32" i="1"/>
  <c r="AN32" i="1"/>
  <c r="AV31" i="1"/>
  <c r="AT31" i="1"/>
  <c r="AQ31" i="1"/>
  <c r="AP31" i="1"/>
  <c r="AO31" i="1"/>
  <c r="AN31" i="1"/>
  <c r="AV30" i="1"/>
  <c r="AT30" i="1"/>
  <c r="AQ30" i="1"/>
  <c r="AP30" i="1"/>
  <c r="AO30" i="1"/>
  <c r="AN30" i="1"/>
  <c r="AV29" i="1"/>
  <c r="AT29" i="1"/>
  <c r="AQ29" i="1"/>
  <c r="AP29" i="1"/>
  <c r="AO29" i="1"/>
  <c r="AN29" i="1"/>
  <c r="AV28" i="1"/>
  <c r="AT28" i="1"/>
  <c r="AQ28" i="1"/>
  <c r="AP28" i="1"/>
  <c r="AO28" i="1"/>
  <c r="AN28" i="1"/>
  <c r="AV27" i="1"/>
  <c r="AT27" i="1"/>
  <c r="AQ27" i="1"/>
  <c r="AP27" i="1"/>
  <c r="AO27" i="1"/>
  <c r="AN27" i="1"/>
  <c r="AV26" i="1"/>
  <c r="AT26" i="1"/>
  <c r="AQ26" i="1"/>
  <c r="AP26" i="1"/>
  <c r="AO26" i="1"/>
  <c r="AN26" i="1"/>
  <c r="AW26" i="1" s="1"/>
  <c r="AV25" i="1"/>
  <c r="AT25" i="1"/>
  <c r="AQ25" i="1"/>
  <c r="AP25" i="1"/>
  <c r="AO25" i="1"/>
  <c r="AN25" i="1"/>
  <c r="AV24" i="1"/>
  <c r="AT24" i="1"/>
  <c r="AQ24" i="1"/>
  <c r="AP24" i="1"/>
  <c r="AO24" i="1"/>
  <c r="AN24" i="1"/>
  <c r="AV23" i="1"/>
  <c r="AT23" i="1"/>
  <c r="AQ23" i="1"/>
  <c r="AP23" i="1"/>
  <c r="AO23" i="1"/>
  <c r="AN23" i="1"/>
  <c r="AV22" i="1"/>
  <c r="AT22" i="1"/>
  <c r="AP22" i="1"/>
  <c r="AQ22" i="1" s="1"/>
  <c r="AO22" i="1"/>
  <c r="AN22" i="1"/>
  <c r="AW22" i="1" s="1"/>
  <c r="AV21" i="1"/>
  <c r="AT21" i="1"/>
  <c r="AP21" i="1"/>
  <c r="AQ21" i="1" s="1"/>
  <c r="AO21" i="1"/>
  <c r="AN21" i="1"/>
  <c r="AV20" i="1"/>
  <c r="AT20" i="1"/>
  <c r="AP20" i="1"/>
  <c r="AQ20" i="1" s="1"/>
  <c r="AO20" i="1"/>
  <c r="AN20" i="1"/>
  <c r="AV19" i="1"/>
  <c r="AT19" i="1"/>
  <c r="AQ19" i="1"/>
  <c r="AP19" i="1"/>
  <c r="AO19" i="1"/>
  <c r="AN19" i="1"/>
  <c r="AV18" i="1"/>
  <c r="AT18" i="1"/>
  <c r="AQ18" i="1"/>
  <c r="AP18" i="1"/>
  <c r="AO18" i="1"/>
  <c r="AN18" i="1"/>
  <c r="AV17" i="1"/>
  <c r="AT17" i="1"/>
  <c r="AQ17" i="1"/>
  <c r="AP17" i="1"/>
  <c r="AO17" i="1"/>
  <c r="AN17" i="1"/>
  <c r="AV16" i="1"/>
  <c r="AT16" i="1"/>
  <c r="AP16" i="1"/>
  <c r="AQ16" i="1" s="1"/>
  <c r="AO16" i="1"/>
  <c r="AN16" i="1"/>
  <c r="AV15" i="1"/>
  <c r="AT15" i="1"/>
  <c r="AP15" i="1"/>
  <c r="AQ15" i="1" s="1"/>
  <c r="AO15" i="1"/>
  <c r="AN15" i="1"/>
  <c r="AV14" i="1"/>
  <c r="AT14" i="1"/>
  <c r="AQ14" i="1"/>
  <c r="AP14" i="1"/>
  <c r="AO14" i="1"/>
  <c r="AN14" i="1"/>
  <c r="AV13" i="1"/>
  <c r="AT13" i="1"/>
  <c r="AQ13" i="1"/>
  <c r="AP13" i="1"/>
  <c r="AO13" i="1"/>
  <c r="AN13" i="1"/>
  <c r="AV12" i="1"/>
  <c r="AT12" i="1"/>
  <c r="AQ12" i="1"/>
  <c r="AP12" i="1"/>
  <c r="AO12" i="1"/>
  <c r="AN12" i="1"/>
  <c r="AV11" i="1"/>
  <c r="AT11" i="1"/>
  <c r="AP11" i="1"/>
  <c r="AQ11" i="1" s="1"/>
  <c r="AO11" i="1"/>
  <c r="AN11" i="1"/>
  <c r="AV10" i="1"/>
  <c r="AT10" i="1"/>
  <c r="AQ10" i="1"/>
  <c r="AP10" i="1"/>
  <c r="AO10" i="1"/>
  <c r="AN10" i="1"/>
  <c r="AV9" i="1"/>
  <c r="AT9" i="1"/>
  <c r="AP9" i="1"/>
  <c r="AQ9" i="1" s="1"/>
  <c r="AO9" i="1"/>
  <c r="AN9" i="1"/>
  <c r="AV8" i="1"/>
  <c r="AT8" i="1"/>
  <c r="AQ8" i="1"/>
  <c r="AP8" i="1"/>
  <c r="AO8" i="1"/>
  <c r="AN8" i="1"/>
  <c r="AV7" i="1"/>
  <c r="AT7" i="1"/>
  <c r="AQ7" i="1"/>
  <c r="AP7" i="1"/>
  <c r="AO7" i="1"/>
  <c r="AN7" i="1"/>
  <c r="AV6" i="1"/>
  <c r="AT6" i="1"/>
  <c r="AP6" i="1"/>
  <c r="AQ6" i="1" s="1"/>
  <c r="AO6" i="1"/>
  <c r="AN6" i="1"/>
  <c r="AV5" i="1"/>
  <c r="AT5" i="1"/>
  <c r="AQ5" i="1"/>
  <c r="AP5" i="1"/>
  <c r="AO5" i="1"/>
  <c r="AN5" i="1"/>
  <c r="AV4" i="1"/>
  <c r="AT4" i="1"/>
  <c r="AP4" i="1"/>
  <c r="AQ4" i="1" s="1"/>
  <c r="AO4" i="1"/>
  <c r="AN4" i="1"/>
  <c r="AV3" i="1"/>
  <c r="AT3" i="1"/>
  <c r="AQ3" i="1"/>
  <c r="AP3" i="1"/>
  <c r="AO3" i="1"/>
  <c r="AN3" i="1"/>
  <c r="AW51" i="1" l="1"/>
  <c r="AW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tc={82B7C04B-F0DD-44EA-B29D-6728FBCFCE51}</author>
  </authors>
  <commentList>
    <comment ref="AB53" authorId="0" shapeId="0" xr:uid="{82B7C04B-F0DD-44EA-B29D-6728FBCFCE51}">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si este es el primero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tc={3DC57012-9491-4551-95BD-F507AF7C73BC}</author>
  </authors>
  <commentList>
    <comment ref="V16" authorId="0" shapeId="0" xr:uid="{3DC57012-9491-4551-95BD-F507AF7C73BC}">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si es la primera fecha</t>
      </text>
    </comment>
  </commentList>
</comments>
</file>

<file path=xl/sharedStrings.xml><?xml version="1.0" encoding="utf-8"?>
<sst xmlns="http://schemas.openxmlformats.org/spreadsheetml/2006/main" count="2730" uniqueCount="1080">
  <si>
    <t>#</t>
  </si>
  <si>
    <t>Subregión</t>
  </si>
  <si>
    <t>Nombre Municipio DANE</t>
  </si>
  <si>
    <t>Nombre Municipios SUTEC</t>
  </si>
  <si>
    <t>Sabanas</t>
  </si>
  <si>
    <t>Sincelejo</t>
  </si>
  <si>
    <t>Corozal</t>
  </si>
  <si>
    <t>Morroa</t>
  </si>
  <si>
    <t>Los Palmitos</t>
  </si>
  <si>
    <t>Sampués</t>
  </si>
  <si>
    <t>San Juan de Betulia</t>
  </si>
  <si>
    <t>San Juan De Betulia</t>
  </si>
  <si>
    <t>Buenavista</t>
  </si>
  <si>
    <t>San Luis de Sincé</t>
  </si>
  <si>
    <t>San Luis De Sincé</t>
  </si>
  <si>
    <t>San Pedro</t>
  </si>
  <si>
    <t>Galeras</t>
  </si>
  <si>
    <t>El Roble</t>
  </si>
  <si>
    <t>Montes de María</t>
  </si>
  <si>
    <t>Ovejas</t>
  </si>
  <si>
    <t>Chalán</t>
  </si>
  <si>
    <t>Colosó</t>
  </si>
  <si>
    <t>Golfo de Morrosquillo</t>
  </si>
  <si>
    <t>Santiago de Tolú</t>
  </si>
  <si>
    <t>San José de Toluviejo</t>
  </si>
  <si>
    <t>San José De Toluviejo</t>
  </si>
  <si>
    <t>Coveñas</t>
  </si>
  <si>
    <t>San Onofre</t>
  </si>
  <si>
    <t>Palmito</t>
  </si>
  <si>
    <t>San Jorge</t>
  </si>
  <si>
    <t>San Marcos</t>
  </si>
  <si>
    <t>San Benito Abad</t>
  </si>
  <si>
    <t>Caimito</t>
  </si>
  <si>
    <t>La Unión</t>
  </si>
  <si>
    <t>Mojana</t>
  </si>
  <si>
    <t>Sucre</t>
  </si>
  <si>
    <t>Majagual</t>
  </si>
  <si>
    <t>Guaranda</t>
  </si>
  <si>
    <t>Todas las Subregiones</t>
  </si>
  <si>
    <t>Todo el Departamento de Sucre</t>
  </si>
  <si>
    <t>TIPO DE CAMBIO</t>
  </si>
  <si>
    <t>CAMBIO</t>
  </si>
  <si>
    <t>MATRIZ</t>
  </si>
  <si>
    <t>HERRAMIENTA</t>
  </si>
  <si>
    <t>REALIZADO</t>
  </si>
  <si>
    <t xml:space="preserve">AGREGAR COLUMNA </t>
  </si>
  <si>
    <t xml:space="preserve">RESPONSABLE DEL PROYECTO </t>
  </si>
  <si>
    <t xml:space="preserve">DEPARTAMENTO </t>
  </si>
  <si>
    <t>Consolidación regalías</t>
  </si>
  <si>
    <t>Si</t>
  </si>
  <si>
    <t>HORIZONTE EN DESCENTRALIZADAS</t>
  </si>
  <si>
    <t>DESCENTRALIZADAS</t>
  </si>
  <si>
    <t>AGREGAR CARACTERISTICAS</t>
  </si>
  <si>
    <t>% FÍSICO Y FINANCIERO EN LA TARJETA DE ESTADO DEL PROYECTO</t>
  </si>
  <si>
    <t>Seguimiento Regalías</t>
  </si>
  <si>
    <t xml:space="preserve">REVISIÓN </t>
  </si>
  <si>
    <t>REPORTE DE EXCEL</t>
  </si>
  <si>
    <t>AJUSTE</t>
  </si>
  <si>
    <t>CÁLCULO H2</t>
  </si>
  <si>
    <t>AGREGAR LOS MUNICIPIOS</t>
  </si>
  <si>
    <t>AGREGAR LAS DESCENTRALIZADAS</t>
  </si>
  <si>
    <t>CAMBIO NOMBRE COLUMNA</t>
  </si>
  <si>
    <t>FECHA DE INCORPORACIÓN DE RECUROS -&gt; FECHA DE INCORPORACIÓN DE RECURSOS</t>
  </si>
  <si>
    <t>DESCENTRALIZADAS Y MUNIICIPIOS</t>
  </si>
  <si>
    <t>AGREGAR COLUMNA DE SECTOR</t>
  </si>
  <si>
    <t>PAGINA FILTRO DE LOS MUNICIPIOS</t>
  </si>
  <si>
    <t>HITO 2 E HITO 1 QUE NO SE REPITAN LOS PROYECTOS</t>
  </si>
  <si>
    <t>PÁGINA REPORTE  SEGUIMIENTO</t>
  </si>
  <si>
    <t>DÍAS DE CORTE Y DÍAS A FECHA ACTUAL</t>
  </si>
  <si>
    <t xml:space="preserve">MOSTRAR COMENTARIOS DE LA MATRIZ EN LOS HITOS </t>
  </si>
  <si>
    <t xml:space="preserve">PAGINA REPORTE SEGUIMIENTO </t>
  </si>
  <si>
    <t>AGREGAR LINK SECOP CONTRATOS</t>
  </si>
  <si>
    <t>MATRIZ CONTRATOS REPORTE GESPROY</t>
  </si>
  <si>
    <t>No</t>
  </si>
  <si>
    <t>AGREGAR IGPR 2026</t>
  </si>
  <si>
    <t>GRÁFICA EN TIEMPO REAL DE LOS PROYECTOS, MAYOR DINÁMICA</t>
  </si>
  <si>
    <t>SUSPENDIDOS OTRO HITO</t>
  </si>
  <si>
    <t>en el estado que diga el Hito CON SU APELLIDO</t>
  </si>
  <si>
    <t>AJUSTAR LOS QUE ESTÁN EN EJECUCIÓN CONFORME A SU CLASIFICACIÓN</t>
  </si>
  <si>
    <t>HORIZONTE VENCIDO EN 0</t>
  </si>
  <si>
    <t>LIQUIDACIONES QUE SE VEAN LAS FECHAS</t>
  </si>
  <si>
    <t>AGREGAR LOS PROYECTOS EN EJECUCIÓN SOLITOS EN LOS HITOS (CON SU ALERTA)</t>
  </si>
  <si>
    <t xml:space="preserve">CONFIGURAR LOS HITOS QUE NO SE DUPLIQUEN LOS DE CIERRE EN LOS TERMINADOS </t>
  </si>
  <si>
    <t>AJUSTAR DESCENTRALIZADA QUE QUEDE MUY PARECIDO A EL DE DEPARTAMENTOS</t>
  </si>
  <si>
    <t>RESUMEN POR CADA ENTIDAD SE MUESTRE CUANTO ESTÁN POR ESTADO</t>
  </si>
  <si>
    <t>LOS PROYECTOS SIN CONTRATAR QUE CUENTE DÍAS GENERALES</t>
  </si>
  <si>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</si>
  <si>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</si>
  <si>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</si>
  <si>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</si>
  <si>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</si>
  <si>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</si>
  <si>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</si>
  <si>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</si>
  <si>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</si>
  <si>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</si>
  <si>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</si>
  <si>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</si>
  <si>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</si>
  <si>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</si>
  <si>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</si>
  <si>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</si>
  <si>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</si>
  <si>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</si>
  <si>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</si>
  <si>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</si>
  <si>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</si>
  <si>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</si>
  <si>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</si>
  <si>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</si>
  <si>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</si>
  <si>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</si>
  <si>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</si>
  <si>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</si>
  <si>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</si>
  <si>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ACTA INICIO</t>
  </si>
  <si>
    <t>HORIZONTE DEL PROYECTO</t>
  </si>
  <si>
    <t>FECHA DE FINALIZACIÓN</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</si>
  <si>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</si>
  <si>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</si>
  <si>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</si>
  <si>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</si>
  <si>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</si>
  <si>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</si>
  <si>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</si>
  <si>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</si>
  <si>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</si>
  <si>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</si>
  <si>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</si>
  <si>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</si>
  <si>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</si>
  <si>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</si>
  <si>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</si>
  <si>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</si>
  <si>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</si>
  <si>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</si>
  <si>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</si>
  <si>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</si>
  <si>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</si>
  <si>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</si>
  <si>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</si>
  <si>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</si>
  <si>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</si>
  <si>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</si>
  <si>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</si>
  <si>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</si>
  <si>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</si>
  <si>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</si>
  <si>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Me permito solicitar el número de beneficiarios y la sostenibilidad</t>
  </si>
  <si>
    <t>No se recibió información</t>
  </si>
  <si>
    <t xml:space="preserve">Proyecto en estado terminado. Se está a la espera de respuesta por parte de tesorería, conforme a unos pagos pendientes por reportar en la plataforma Gesproy.
Así mismo, se encuentra pendiente la liquidación del contrato CM-008-2015, la cual se solicitó a contratación desde el 20 de abril de 2026 y a la fecha no se ha recibido respuesta, el 06 de mayo se realizó la reiteración y se está a la espera de respuesta. Una vez se cuente con el registro de los pagos del contrato CONV-015-2023, se podrá proceder con el cargue de la liquidación correspondiente. 
</t>
  </si>
  <si>
    <t>ZAMARA GARCÍA MARTÍNEZ</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</si>
  <si>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</si>
  <si>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</si>
  <si>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</si>
  <si>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</si>
  <si>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</si>
  <si>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</si>
  <si>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</si>
  <si>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</si>
  <si>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</si>
  <si>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</si>
  <si>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</si>
  <si>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</si>
  <si>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</si>
  <si>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</si>
  <si>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</si>
  <si>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</si>
  <si>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 xml:space="preserve">NO hay reporte </t>
  </si>
  <si>
    <t>Proyecto terminado en espera de actas de liquidación para cerrar</t>
  </si>
  <si>
    <t>2013000100074</t>
  </si>
  <si>
    <t>Educación</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</si>
  <si>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</si>
  <si>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</si>
  <si>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</si>
  <si>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</si>
  <si>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</si>
  <si>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</si>
  <si>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Proyecto en estado de ejecución, cuenta con prórroga hasta 2028, por lo cual se requiere  reprogramación; sin embargo, esta no se ha realizado debido a que la información remitida se presentó en Metodología 1 y no en Metodología 2. Actualmente, no se ha recibido respuesta por parte de la sectorial, lo cual está geenrando reporte negativo en el IGPR del proyecto.</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</si>
  <si>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</si>
  <si>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</si>
  <si>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</si>
  <si>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</si>
  <si>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</si>
  <si>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</si>
  <si>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</si>
  <si>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</si>
  <si>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</si>
  <si>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trámites el acta de liquidación del contrato de interventoría.</t>
  </si>
  <si>
    <t>Proyecto terminado, la sectorial remitió en el mes de febrero la  liquidación pendiente del cntrato de obra, sin embargo, se está a la espera de mesa de trabajo debido a inconsistencias en los valores y se encuentra en estructuración el acta de liquidación del contrato de interventoría. Se encuentra finalizado desde agosto 2024.</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</si>
  <si>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</si>
  <si>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</si>
  <si>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</si>
  <si>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</si>
  <si>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</si>
  <si>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</si>
  <si>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</si>
  <si>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</si>
  <si>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</si>
  <si>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</si>
  <si>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</si>
  <si>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</si>
  <si>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</si>
  <si>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</si>
  <si>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</si>
  <si>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</si>
  <si>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El Roble, Caimito, San Marcos</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</si>
  <si>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</si>
  <si>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</si>
  <si>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</si>
  <si>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</si>
  <si>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</si>
  <si>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</si>
  <si>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 xml:space="preserve">No hay reporte </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</si>
  <si>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</si>
  <si>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</si>
  <si>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</si>
  <si>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</si>
  <si>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</si>
  <si>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</si>
  <si>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</si>
  <si>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</si>
  <si>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</si>
  <si>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</si>
  <si>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</si>
  <si>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</si>
  <si>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</si>
  <si>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</si>
  <si>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</si>
  <si>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</si>
  <si>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</si>
  <si>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</si>
  <si>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</si>
  <si>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</si>
  <si>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</si>
  <si>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</si>
  <si>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</si>
  <si>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Continúa suspendido </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</si>
  <si>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</si>
  <si>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YEIMI MONTAÑA DÍAZ
ASDRUVAL AVILEZ DÍAZ</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</si>
  <si>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</si>
  <si>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</si>
  <si>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</si>
  <si>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</si>
  <si>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</si>
  <si>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</si>
  <si>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octubre de 2024  y actualmente está a la espera de la suscripción del acta de liquidación del contrato de interventoría y del acta donde se identifique que ya se hizo entrega de todos los planes viales a los diferentes Municipios.</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</si>
  <si>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</si>
  <si>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</si>
  <si>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</si>
  <si>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</si>
  <si>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</si>
  <si>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         ”. 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</si>
  <si>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</si>
  <si>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</si>
  <si>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</si>
  <si>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</si>
  <si>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</si>
  <si>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</si>
  <si>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</si>
  <si>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</si>
  <si>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</si>
  <si>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</si>
  <si>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</si>
  <si>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</si>
  <si>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</si>
  <si>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el avance de ejecución correspondiente al mes de abril de 2026 o, en su defecto, la información sobre las modificaciones realizadas al proyecto, junto con las pólizas actualizadas derivadas del reinicio o de las prórrogas, debidamente aprobadas. Así mismo, considerando que el proyecto registra un horizonte en Gesproy hasta el mes de abril se requiere anexar el acta final en caso de que haya finalizado; de lo contrario, deberá remitirse la documentación correspondiente a la prórroga</t>
  </si>
  <si>
    <t>Avance de ejecución del mes de abril de 2026. En formato Excel.
Documento de soporte de avance de ejecución mes de abril 2026.
Informe de balance final de obra
Acta de terminación del contrato de obra
Acta de terminación del contrato de interventoría</t>
  </si>
  <si>
    <t>Proyecto se encuentra terminado  desde el mes de abril de 2026, sE solicita actualización de polizas con todas las modificaciones presentadas en el proyecto para poderlo pasar a estado terminado</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</si>
  <si>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</si>
  <si>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</si>
  <si>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</si>
  <si>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</si>
  <si>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</si>
  <si>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</si>
  <si>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</si>
  <si>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</si>
  <si>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</si>
  <si>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</si>
  <si>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</si>
  <si>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</si>
  <si>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</si>
  <si>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</si>
  <si>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</si>
  <si>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</si>
  <si>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</si>
  <si>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</si>
  <si>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</si>
  <si>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</si>
  <si>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</si>
  <si>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</si>
  <si>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</si>
  <si>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Conforme a la información remitida el mes anterior, en la que se indicó el reinicio y finalización de la ejecución física del proyecto, se solicita remitir el acta de reinicio, la actualización de pólizas, la ejecución del último mes (marzo) y el acta final, teniendo en cuenta que dicha ejecución no fue reportada, lo que afecta la calificación del proyecto, adicionalmente, se recuerda que la plataforma GESPROY no permite cargar meses vencidos, por lo que el retraso en el envío puede generar inconsistencias para su cierre.</t>
  </si>
  <si>
    <t>Se envía acta de reinicio del
proyecto. A la espera del informe
final para su respectivo informe y
firma del acta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</si>
  <si>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la ejecución del último mes, con el fin de proceder a pasar a estado "terminado" el proyecto.</t>
  </si>
  <si>
    <t xml:space="preserve">SERGIO VILLALBA MERCADO
ASDRUVAL AVILEZ DÍAZ
</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</si>
  <si>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</si>
  <si>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</si>
  <si>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</si>
  <si>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</si>
  <si>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</si>
  <si>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Se solicita remitir avance de ejecución del mes de abril de 2026 y/o modificaciones si se han presentado, además remitir pólizas actualizadas con pantallazo de aprobación de la modificación No 1 del contrato de interventoría, y pólizas con aprobación de los modificatorios No 2(adición de recursos) y modificación No 4 (Prórroga).</t>
  </si>
  <si>
    <t>Avance de ejecución del mes de abril de 2026. En formato Excel.</t>
  </si>
  <si>
    <t>Proyecto en estado de ejecución, con contrato en ejecución y calificación de 90 puntos en el mes de febrero, conforme a su avance de ejecución, teniendo en cuenta el costo, la programación y la brecha entre lo físico y lo financiero. ( A la espera de que se remita información de algunas pólizas de los contratos para ser registrada en la plataforma)</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</si>
  <si>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</si>
  <si>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</si>
  <si>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</si>
  <si>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</si>
  <si>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</si>
  <si>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</si>
  <si>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</si>
  <si>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</si>
  <si>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</si>
  <si>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</si>
  <si>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</si>
  <si>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</si>
  <si>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</si>
  <si>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</si>
  <si>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</si>
  <si>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</si>
  <si>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</si>
  <si>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</si>
  <si>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</si>
  <si>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</si>
  <si>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</si>
  <si>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</si>
  <si>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</si>
  <si>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Suspendido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</si>
  <si>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</si>
  <si>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</si>
  <si>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diciembre de 2025</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</si>
  <si>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</si>
  <si>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</si>
  <si>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</si>
  <si>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</si>
  <si>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</si>
  <si>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</si>
  <si>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</si>
  <si>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</si>
  <si>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</si>
  <si>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</si>
  <si>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Conforme a la información remitida, la Secretaría de Planeación se encuentra adelantando el trámite correspondiente para la expedición del acto administrativo de cierre del proyecto</t>
  </si>
  <si>
    <t>En espera que el acto administrativo de cierre del proyecto sea entregado por parte de la secretaría de Planeación departamental y subir en plataforma Gesproy.</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</si>
  <si>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</si>
  <si>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</si>
  <si>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</si>
  <si>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</si>
  <si>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</si>
  <si>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</si>
  <si>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e interventoría.</t>
  </si>
  <si>
    <t>El proyecto se encuentra en estado “Terminado”, a la espera de la suscripción de las actas de liquidación de los contratos, así como del diligenciamiento del formato de sostenibilidad e indicadores, requisitos necesarios para proceder con su cierre. Su fecha de terminación fue en julio de 2025</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</si>
  <si>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</si>
  <si>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</si>
  <si>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</si>
  <si>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</si>
  <si>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</si>
  <si>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</si>
  <si>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</si>
  <si>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</si>
  <si>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</si>
  <si>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Orden de pago de acta final del contrato de obra</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</si>
  <si>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</si>
  <si>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</si>
  <si>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</si>
  <si>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</si>
  <si>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</si>
  <si>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Se solicita remitir la ejecución correspondiente al mes de abril de 2026 y/o las modificaciones que hayan sido realizadas, si aplica.</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</si>
  <si>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</si>
  <si>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100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</si>
  <si>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</si>
  <si>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</si>
  <si>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</si>
  <si>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</si>
  <si>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</si>
  <si>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</si>
  <si>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</si>
  <si>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 xml:space="preserve">Nos permitimos informar que este presenta un avance del 100 % en su ejecución física. No obstante, se encuentra pendiente la culminación de la ejecución financiera, requisito necesario para proceder con la elaboración del acta final. </t>
  </si>
  <si>
    <t>El proyecto se encuentra finalizado, sin embargo, no se ha remitido el acta final, lo que ocasiona que en la plataforma continúe en estado “en ejecución”, generando una baja calificación.</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</si>
  <si>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</si>
  <si>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</si>
  <si>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</si>
  <si>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</si>
  <si>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</si>
  <si>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</si>
  <si>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         Conforme a la información remitida, la Secretaría de Planeación se encuentra adelantando el trámite correspondiente para la expedición del acto administrativo de cierre del proyecto.</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</si>
  <si>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</si>
  <si>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</si>
  <si>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</si>
  <si>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</si>
  <si>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</si>
  <si>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</si>
  <si>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</si>
  <si>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</si>
  <si>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</si>
  <si>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</si>
  <si>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abril de 2026 y/o las modificaciones realizadas</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</si>
  <si>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</si>
  <si>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88,7  puntos en el mes de marzo, conforme a su avance de ejecución, teniendo en cuenta el costo, la programación y la brecha entre lo físico y lo financiero.</t>
  </si>
  <si>
    <t>Colosó, San José de Toluviejo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</si>
  <si>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</si>
  <si>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</si>
  <si>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</si>
  <si>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</si>
  <si>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El mes anterior fue remitido por parte de ustedes un informe que no presenta claridad respecto a la ejecución de la actividad “Realizar implementación plan de fortalecimiento organizacional”, por tal razón, se solicita remitir un informe aclaratorio en el que se detalle la línea de tiempo y la fecha real de finalización de dicha actividad. Así mismo, se sugiere realizar una mesa de trabajo con el fin de presentar esta información de manera clara y precis</t>
  </si>
  <si>
    <t>Documento de soportes de ejecución mes de abril de 2026</t>
  </si>
  <si>
    <t>Proyecto pasó a terminado, se debe solicitar liquidación para proceder con su cierre.</t>
  </si>
  <si>
    <t>Sucre, San Marcos, Guaranda, Caimito, La Unión, San Benito Abad, Majagual</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</si>
  <si>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</si>
  <si>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</si>
  <si>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</si>
  <si>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</si>
  <si>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</si>
  <si>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Avance de ejecución del mes de abril 2026 y documento soporte de ejecución mes de abril de 2026.</t>
  </si>
  <si>
    <t>Proyecto en estado de ejecución, con contrato en ejecución y calificación de 79,04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</si>
  <si>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</si>
  <si>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</si>
  <si>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</si>
  <si>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</si>
  <si>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</si>
  <si>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</si>
  <si>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</si>
  <si>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</si>
  <si>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</si>
  <si>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</si>
  <si>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</si>
  <si>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         Se solicita remitir el avance de ejecución correspondiente al mes de abril de 2026 y/o las modificaciones realizadas.</t>
  </si>
  <si>
    <t>Avance de ejecución del mes de abril 2026
Documento de soporte de avance de ejecución mes de abril 2026</t>
  </si>
  <si>
    <t>Proyecto en estado de ejecución, con contrato en ejecución y calificación de 86,96  puntos en el mes de febrero, conforme a su avance de ejecución, teniendo en cuenta el costo, la programación y la brecha entre lo físico y lo financiero.</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</si>
  <si>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</si>
  <si>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</si>
  <si>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</si>
  <si>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</si>
  <si>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</si>
  <si>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Ejecución del proyecto</t>
  </si>
  <si>
    <t>El proyecto fue prorrogado por dos meses mas, quedando su ejecución hasta el 14 de junio de 2026, por lo tanto remitimos el documento de la prorroga No. 4, reprogramación, excel de ejecución y documento de entrega de avance de obras. En cuanto a las pólizas actualizadas con respecto a la prorroga, estas se encuentan en estado de proceso de aprobación.</t>
  </si>
  <si>
    <t xml:space="preserve">Proyecto en estado de ejecución, con contrato en ejecución y calificación de 75 puntos en el mes de marzo, conforme a su avance de ejecución, teniendo en cuenta el costo, la programación y la brecha entre lo físico y lo financiero. </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</si>
  <si>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</si>
  <si>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</si>
  <si>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</si>
  <si>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         Se solicita remitir avance de ejecución del mes de abril de 2026, pólizas actualizadas con acta de inicio del convenio suscrito y/o modificaciones si se han presentado.</t>
  </si>
  <si>
    <t xml:space="preserve">En cuanto al convenio 014 se prorrogó dos meses, quedando su ejecución hasta el 12 de junio de 2026, por lo tanto nos permitimos remitir modificatorio No.1 del Convenio 014, reprogramación, excel de ejecucion y documento de avance de obra. </t>
  </si>
  <si>
    <t>Proyecto en estado de ejecución, con contrato en ejecución y calificación de 100puntos en el mes de marzo, conforme a su avance de ejecución, teniendo en cuenta el costo, la programación y la brecha entre lo físico y lo financiero.</t>
  </si>
  <si>
    <t>San Marcos, Sucre</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</si>
  <si>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</si>
  <si>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</si>
  <si>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</si>
  <si>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</si>
  <si>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</si>
  <si>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y se solicita información del proceso de contratación del proyecto, en vista que conforme a la información pasada el proceso precontractual fue declarado desierto.</t>
  </si>
  <si>
    <t xml:space="preserve">Se encuentra en contratación (Se anexa oficio de radicación) </t>
  </si>
  <si>
    <t>Proyecto realizó apertura del proceso de selección en la plataforma de Colombia Compra Eficiente para la adquisición de maquinaria amarilla y agrícola el día 5 de marzo de 2026, sin embargo, dicho proceso fue declarado desierto. Conforme a la información suministrada por la sectorial, el 13 de mayo de 2026 fueron radicados nuevamente los estudios previos para adelantar el proceso contractual. Posteriormente, desde la dependencia de contratación se realizaron observaciones relacionadas con los tiempos y la actualización de algunos precios de referencia, razón por la cual la sectorial se encuentra adelantando las subsanaciones correspondientes para continuar con el proceso de contratación. Teniendo en cuenta que el proyecto ya contó con un proceso inicial de contratación, actualmente no presenta riesgo de liberación de recursos.</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</si>
  <si>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</si>
  <si>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</si>
  <si>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</si>
  <si>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</si>
  <si>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</si>
  <si>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  </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</si>
  <si>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</si>
  <si>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</si>
  <si>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</si>
  <si>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</si>
  <si>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</si>
  <si>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</si>
  <si>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</si>
  <si>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</si>
  <si>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abril de 2026 y/o las modificaciones realizadas, así como informar el estado de inicio de los demás contratos suscritos en el marco del proyecto</t>
  </si>
  <si>
    <t>Avance de ejecución del mes de abril 2026
Informe de supervisión mes de abril de 2026</t>
  </si>
  <si>
    <t>Proyecto en estado de ejecución, con contrato en ejecución y calificación de 60  puntos en el mes de marzo, conforme a su avance de ejecución, teniendo en cuenta el costo, la programación y la brecha entre lo físico y lo financiero.</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</si>
  <si>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</si>
  <si>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</si>
  <si>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</si>
  <si>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</si>
  <si>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</si>
  <si>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</si>
  <si>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</si>
  <si>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 Este proyecto presenta más de 500 días desde su aprobación sin que, a la fecha, se haya dado inicio a su ejecución, situación que genera alertas y afecta negativamente su calificación.</t>
  </si>
  <si>
    <t>La contratación de la obra se encuentra adjudicado.
Proceso interventoría, mediante la Resolución No. 1086 del 12 de marzo de 2026, se declaró desierto el Concurso de Méritos Abierto No. CM-002-2026.
Mediante oficio No. 0838 de 8 de mayo, se radicaron los estudios previos para iniciar nuevo proceso de interventoría.</t>
  </si>
  <si>
    <t xml:space="preserve">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</si>
  <si>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</si>
  <si>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</si>
  <si>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</si>
  <si>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</si>
  <si>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         se solicita la remisión de la ejecución correspondiente al mes de abril de 2026 y/o modificaciones.</t>
  </si>
  <si>
    <t xml:space="preserve">Se envía informe de avance del mes de abril y respectiva prorroga en la ejecución.  </t>
  </si>
  <si>
    <t>Proyecto en estado de ejecución, con contrato en ejecución y calificación de 88,43  puntos en el mes de marzo, conforme a su avance de ejecución, teniendo en cuenta el costo, la programación y la brecha entre lo físico y lo financiero.</t>
  </si>
  <si>
    <t>2024702150036</t>
  </si>
  <si>
    <t>Construcción de soluciones Fotovoltaica para el suministro de energía en entidades públicas del municipio de   Corozal Sucre</t>
  </si>
  <si>
    <t>Central de generación fotovoltaica construida (Producto principal del proyecto)</t>
  </si>
  <si>
    <t>SGR - Rendimientos financieros 30% - incentivo a la producción
SGR - Asignaciones directas</t>
  </si>
  <si>
    <t>Proyecto en estado “Sin contratar”, recién aprobado</t>
  </si>
  <si>
    <t/>
  </si>
  <si>
    <t>2025000020006</t>
  </si>
  <si>
    <t>Mejoramiento de la vía sampues-Segovia-Sincelejo en el departamento de  Sucre</t>
  </si>
  <si>
    <t xml:space="preserve">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 </t>
  </si>
  <si>
    <t>CDP No.62
Mediante oficio 0832 de 8 de mayo de 2026, se radicaron los estudios previos para iniciar proceso de contratación de obra</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</si>
  <si>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</si>
  <si>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</si>
  <si>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</si>
  <si>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</si>
  <si>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</si>
  <si>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</si>
  <si>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 xml:space="preserve"> Se solicita liquidación del proyecto.</t>
  </si>
  <si>
    <t>Proyecto se está cragando información en la plataforma Gesproy para pasar a estado TERMIANDO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</si>
  <si>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</si>
  <si>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</si>
  <si>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</si>
  <si>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</si>
  <si>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Se solicita remitir avance de ejecución del mes de abril de 2026, además remitir pólizas iniciales y con acta de inicio de los contratos y/o modificaciones si se han presentado.</t>
  </si>
  <si>
    <t>avance de ejecucion del mes de abril 2026,en formato exel documentos de soportes de ejecusion mes de abril 2026</t>
  </si>
  <si>
    <t>Proyecto en estado de ejecución, con contrato en ejecución y calificación de 100 puntos en el mes de marzo, conforme a su avance de ejecución, teniendo en cuenta el costo, la programación y la brecha entre lo físico y lo financiero.</t>
  </si>
  <si>
    <t>OSVALDO SIERRA CARVAJALINO</t>
  </si>
  <si>
    <t>San Benito Abad, Galeras</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</si>
  <si>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</si>
  <si>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</si>
  <si>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</si>
  <si>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Se solicita remitir el avance de ejecución correspondiente al mes de marzo de 2026 y/o las modificaciones realizadas, además se solicita información de los contratistas (Rut, acta consorcial, pólizas iniciales), minutas contractuales</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</si>
  <si>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</si>
  <si>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</si>
  <si>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</si>
  <si>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</si>
  <si>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Conforme a la última información suministrada el proyecto cuenta con el primer contrato de consultoría adjudicado el 08 de abril de 2026 y actualmente se encuentra en espera de la firma del contrato, adicionalmente, el proceso precontractual de la interventoría aún no ha sido publicado, se solicita información de la suscripción del contrato de la consultoría, del proceso de contratación de la interventoría y la programación de los eventos de participación ciudadana.</t>
  </si>
  <si>
    <t>El 4 de mayo de 2026 se suscribió el contrato de obra No. SA. 003.2026. En cuanto al proceso para la contratación de la interventoria, el 24 de abril 2026 se radicaron en la oficina de subcontratación los estudios previos y demás documentación soporte, para su respectiva revisión y trámite; actualmente, se encuentra a la espera de la publicación del respectivo proceso contractual. Se anexa oficio No. 0769.</t>
  </si>
  <si>
    <t xml:space="preserve">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</si>
  <si>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</si>
  <si>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</si>
  <si>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</si>
  <si>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</si>
  <si>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</si>
  <si>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Se encuentra en estructuración de estudios previos de obra e interventoria</t>
  </si>
  <si>
    <t xml:space="preserve"> Proyecto en estado “Sin contratar”,  sin registro de proceso precontractual en SECOP II. Se encuentra en elaboración de estudios previos por parte de la sectorial
</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</si>
  <si>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</si>
  <si>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</si>
  <si>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</si>
  <si>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</si>
  <si>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Se encuentra en el aplicativo Gesproy en estado “CONTRATADO SIN ACTA DE INICIO” se solicita remitir pólizas iniciales debidamente aprobadas, la programación inicial de ejecución y actas de inicio.</t>
  </si>
  <si>
    <t xml:space="preserve">El proyecto comenzó su ejecución el día 27 de abril del 2026, por lo tanto, nos permitimos remitir el acta de inicio firmada, la programación, las pólizas actualizadas con acta de inicio, pantallazo de aprobación secop II, Excel con la ejecución del mes y documento de entrega de avance de obra.  </t>
  </si>
  <si>
    <t xml:space="preserve">Proyecto en estado de ejecución, con contrato en ejecución y calificación de 100 puntos en el mes de marzo, conforme a su avance de ejecución, teniendo en cuenta el costo, la programación y la brecha entre lo físico y lo financiero. </t>
  </si>
  <si>
    <t>Caimito, El Roble, San Onofre, Palmito, Santiago de Tolú</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</si>
  <si>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</si>
  <si>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</si>
  <si>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</si>
  <si>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</si>
  <si>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</si>
  <si>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         Se encuentra en el aplicativo Gesproy en estado “CONTRATADO SIN ACTA DE INICIO” se solicita remitir pólizas iniciales debidamente aprobadas, la programación inicial de ejecución y acta de inicio de obra  e interventoría.</t>
  </si>
  <si>
    <t xml:space="preserve">Nos permitimos informar que actualmente se encuentra pendiente la obtención de los permisos, conceptos y autorizaciones requeridos conforme a la normatividad vigente para la ejecución del convenio, entre ellos el trámite de consulta previa, requisito indispensable para proceder con la suscripción del acta de inicio. </t>
  </si>
  <si>
    <t xml:space="preserve">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</si>
  <si>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San José de Toluviejo, Sincelejo, Galeras</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</si>
  <si>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</si>
  <si>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</si>
  <si>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</si>
  <si>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</si>
  <si>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</si>
  <si>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El proyecto se encuentra en el aplicativo GESPROY en estado “SIN CONTRATAR”. Conforme a la información presentada el mes anterior, se evidenció la apertura del primer proceso correspondiente a la consultoría, no obstante, aún no se había iniciado el proceso precontractual de la interventoría. Por lo anterior, se solicita remitir información actualizada sobre ambas contrataciones, así como la programación de los eventos de participación ciudadana</t>
  </si>
  <si>
    <t xml:space="preserve"> Resolución de adjudicación No. 1786 de 30 de abril de 2026, del Contrato de
Consultoria No. CM-004-2026
Mediante oficio No. 0770 de fecha 24 de abril, se radicaron los estudios previos para iniciar proceso de contractual de la interventoria</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</si>
  <si>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</si>
  <si>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</si>
  <si>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</si>
  <si>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</si>
  <si>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Mediante la Resolución No. 1906 del 8 de mayo de 2026, se ordena la apertura del proceso por concurso de méritos abierto No. CM-003-2026</t>
  </si>
  <si>
    <t>2026002700001</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</si>
  <si>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</si>
  <si>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</si>
  <si>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</si>
  <si>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</si>
  <si>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</si>
  <si>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Proyecto en estado “Sin contratar”,  sin registro de proceso precontractual en SECOP II. Se encuentra en elaboración de estudios previos por parte de la sectorial</t>
  </si>
  <si>
    <t>Departamento de Sucre - Planeación</t>
  </si>
  <si>
    <t>Departamento de Sucre - Salud</t>
  </si>
  <si>
    <t>Departamento de Sucre - Desarrollo Económico</t>
  </si>
  <si>
    <t>Departamento de Sucre - Educación</t>
  </si>
  <si>
    <t>Departamento de Sucre - Infraestructura</t>
  </si>
  <si>
    <t>Departamento de Sucre - Energía</t>
  </si>
  <si>
    <t>2020700010140</t>
  </si>
  <si>
    <t>EMPRESA AGUAS DE SUCRE S.A. E.S.P.</t>
  </si>
  <si>
    <t>2020700010143</t>
  </si>
  <si>
    <t>2021000020028</t>
  </si>
  <si>
    <t>FONDO MIXTO DE PROMOCION DE LA CULTURA Y LAS ARTES DE SUCRE</t>
  </si>
  <si>
    <t>2021002700194</t>
  </si>
  <si>
    <t>20221301010208</t>
  </si>
  <si>
    <t>2023002700011</t>
  </si>
  <si>
    <t>2023002700070</t>
  </si>
  <si>
    <t>2023002700127</t>
  </si>
  <si>
    <t>2023002700169</t>
  </si>
  <si>
    <t>2024002700075</t>
  </si>
  <si>
    <t>INSTITUTO DEPARTAMENTAL DE DEPORTES Y RECREACION DE SUCRE INDERSUCRE</t>
  </si>
  <si>
    <t>2024002700158</t>
  </si>
  <si>
    <t>2024002700193</t>
  </si>
  <si>
    <t>2024002700194</t>
  </si>
  <si>
    <t>2025002700010</t>
  </si>
  <si>
    <t>2025002700011</t>
  </si>
  <si>
    <t>2025002700034</t>
  </si>
  <si>
    <t>2012000020042</t>
  </si>
  <si>
    <t>MUNICIPIO DE MORROA</t>
  </si>
  <si>
    <t>2012002700005</t>
  </si>
  <si>
    <t>MUNICIPIO DE OVEJAS</t>
  </si>
  <si>
    <t>2012002700006</t>
  </si>
  <si>
    <t>MUNICIPIO DE SAN PEDRO</t>
  </si>
  <si>
    <t>2013000020043</t>
  </si>
  <si>
    <t xml:space="preserve">MUNICIPIO DE MAJAGUAL </t>
  </si>
  <si>
    <t>2013000020044</t>
  </si>
  <si>
    <t>2013000020049</t>
  </si>
  <si>
    <t>MUNICIPIO DE COVEÑAS</t>
  </si>
  <si>
    <t>2013000020072</t>
  </si>
  <si>
    <t>MUNICIPIO DE TOLUVIEJO</t>
  </si>
  <si>
    <t>2013000020090</t>
  </si>
  <si>
    <t>MUNICIPIO DE LOS PALMITOS</t>
  </si>
  <si>
    <t>2013000100255</t>
  </si>
  <si>
    <t>LA CORPORACIÓN COLOMBIANA DE INVESTIGACIÓN AGROPECUARIA - AGROSAVIA (EX CORPOICA)</t>
  </si>
  <si>
    <t>2017000020114</t>
  </si>
  <si>
    <t>MUNICIPIO DE SINCELEJO</t>
  </si>
  <si>
    <t>2018000020002</t>
  </si>
  <si>
    <t>MUNICIPIO DE SINCE</t>
  </si>
  <si>
    <t>2019000020013</t>
  </si>
  <si>
    <t>MUNICIPIO DE COROZAL</t>
  </si>
  <si>
    <t>2019000020110</t>
  </si>
  <si>
    <t>MUNICIPIO DE COLOSO</t>
  </si>
  <si>
    <t>2019000100005</t>
  </si>
  <si>
    <t>FUNDACIÓN UNIVERSIDAD DEL NORTE - UNINORTE</t>
  </si>
  <si>
    <t>2019000100011</t>
  </si>
  <si>
    <t>UNIVERSIDAD DE LA SABANA</t>
  </si>
  <si>
    <t>2019000100012</t>
  </si>
  <si>
    <t xml:space="preserve">UNIVERSIDAD DEL VALLE </t>
  </si>
  <si>
    <t>2019000100021</t>
  </si>
  <si>
    <t>UNIVERSIDAD DE CARTAGENA</t>
  </si>
  <si>
    <t>2019000100026</t>
  </si>
  <si>
    <t>UNIVERSIDAD NACIONAL DE COLOMBIA</t>
  </si>
  <si>
    <t>2019000100028</t>
  </si>
  <si>
    <t>PONTIFICIA UNIVERSIDAD JAVERIANA</t>
  </si>
  <si>
    <t>2019000100032</t>
  </si>
  <si>
    <t xml:space="preserve">UNIVERSIDAD DE CÓRDOBA </t>
  </si>
  <si>
    <t>2019000100034</t>
  </si>
  <si>
    <t>CORPORACIÓN UNIVERSIDAD DE LA COSTA</t>
  </si>
  <si>
    <t>2019000100035</t>
  </si>
  <si>
    <t>UNIVERSIDAD DE CALDAS</t>
  </si>
  <si>
    <t>2019000100037</t>
  </si>
  <si>
    <t xml:space="preserve">UNIVERSIDAD TECNOLÓGICA DE BOLÍVAR </t>
  </si>
  <si>
    <t>2019000100045</t>
  </si>
  <si>
    <t>UNIVERSIDAD PONTIFICIA BOLIVARIANA</t>
  </si>
  <si>
    <t>2019000100064</t>
  </si>
  <si>
    <t>UNIVERSIDAD DEL MAGDALENA</t>
  </si>
  <si>
    <t>2019002700079</t>
  </si>
  <si>
    <t>MUNICIPIO DE GALERAS</t>
  </si>
  <si>
    <t>2019700010025</t>
  </si>
  <si>
    <t>2020000020053</t>
  </si>
  <si>
    <t>2020000020068</t>
  </si>
  <si>
    <t>MUNICIPIO DE CAIMITO</t>
  </si>
  <si>
    <t>2020000020072</t>
  </si>
  <si>
    <t>2020000100001</t>
  </si>
  <si>
    <t>2020000100002</t>
  </si>
  <si>
    <t>2020000100005</t>
  </si>
  <si>
    <t>UNIVERSIDAD DEL ATLÁNTICO</t>
  </si>
  <si>
    <t>2020000100006</t>
  </si>
  <si>
    <t xml:space="preserve">INSTITUCION UNIVERSITARIA ITSA </t>
  </si>
  <si>
    <t>2020000100023</t>
  </si>
  <si>
    <t>UNIVERSIDAD DE SUCRE</t>
  </si>
  <si>
    <t>2020000100036</t>
  </si>
  <si>
    <t xml:space="preserve">UNIVERSIDAD DEL MAGDALENA </t>
  </si>
  <si>
    <t>2020000100055</t>
  </si>
  <si>
    <t>UNIVERSIDAD DE CÓRDOBA</t>
  </si>
  <si>
    <t>2020000100056</t>
  </si>
  <si>
    <t>FUNDACION PARQUE TECNOLOGICO DE SOFTWARE DE BOGOTA</t>
  </si>
  <si>
    <t>2020000100065</t>
  </si>
  <si>
    <t>2020000100095</t>
  </si>
  <si>
    <t xml:space="preserve">2020000100116
</t>
  </si>
  <si>
    <t>2020000100189</t>
  </si>
  <si>
    <t>2020000100213</t>
  </si>
  <si>
    <t>CORPORACIÓN UNIVERSITARIA DEL CARIBE CECAR</t>
  </si>
  <si>
    <t>2020000100237</t>
  </si>
  <si>
    <t>CORPORACIÓN CENTRO DE DESARROLLO TECNOLÓGICO CLUSTER CREATIC</t>
  </si>
  <si>
    <t>2020000100250</t>
  </si>
  <si>
    <t>2020000100287</t>
  </si>
  <si>
    <t xml:space="preserve">FUNDACIÓN UNIVERSIDAD DEL NORTE - UNINORTE </t>
  </si>
  <si>
    <t>2020000100322</t>
  </si>
  <si>
    <t>2020000100325</t>
  </si>
  <si>
    <t>2020000100345</t>
  </si>
  <si>
    <t>UNIVERSIDAD DEL VALLE</t>
  </si>
  <si>
    <t>2020000100361</t>
  </si>
  <si>
    <t>2020000100362</t>
  </si>
  <si>
    <t>2020000100364</t>
  </si>
  <si>
    <t>2020000100372</t>
  </si>
  <si>
    <t>2020000100380</t>
  </si>
  <si>
    <t>2020000100391</t>
  </si>
  <si>
    <t xml:space="preserve">UNIVERSIDAD DE ANTIOQUIA </t>
  </si>
  <si>
    <t>2020000100417</t>
  </si>
  <si>
    <t>2020000100418</t>
  </si>
  <si>
    <t>2020000100427</t>
  </si>
  <si>
    <t>2020000100436</t>
  </si>
  <si>
    <t>UNIVERSIDAD SIMÓN BOLIVAR</t>
  </si>
  <si>
    <t>2020000100675</t>
  </si>
  <si>
    <t>2020000100778</t>
  </si>
  <si>
    <t xml:space="preserve">UNIVERSIDAD EAFIT </t>
  </si>
  <si>
    <t>20201301010046</t>
  </si>
  <si>
    <t>2021000100003</t>
  </si>
  <si>
    <t>2021000100004</t>
  </si>
  <si>
    <t>2021000100005</t>
  </si>
  <si>
    <t>2021000100006</t>
  </si>
  <si>
    <t>2021000100033</t>
  </si>
  <si>
    <t>2021000100048</t>
  </si>
  <si>
    <t>INSTITUCION UNIVERSITARIA ITSA</t>
  </si>
  <si>
    <t>2021000100052</t>
  </si>
  <si>
    <t>2021000100078</t>
  </si>
  <si>
    <t>2021000100084</t>
  </si>
  <si>
    <t>2021000100229</t>
  </si>
  <si>
    <t>2021000100535</t>
  </si>
  <si>
    <t>2021002700188</t>
  </si>
  <si>
    <t>2021002700357</t>
  </si>
  <si>
    <t>CANACOL ENERGY COLOMBIA SAS</t>
  </si>
  <si>
    <t>2021002700378</t>
  </si>
  <si>
    <t>2021002700379</t>
  </si>
  <si>
    <t>MUNICIPIO DE GUARANDA</t>
  </si>
  <si>
    <t>2021002700388</t>
  </si>
  <si>
    <t>MUNICIPIO DE SAN BENITO ABAD</t>
  </si>
  <si>
    <t>20211301011233</t>
  </si>
  <si>
    <t>2022000100058</t>
  </si>
  <si>
    <t>2022000100095</t>
  </si>
  <si>
    <t xml:space="preserve">Fundación Centro de Excelencia en Sistemas de Innovación </t>
  </si>
  <si>
    <t>2022000100097</t>
  </si>
  <si>
    <t>FundaciónBotánica yZoológica deBarranquilla</t>
  </si>
  <si>
    <t>2022002700159</t>
  </si>
  <si>
    <t>HOSPITAL UNIVERSITARIO DE SINCELEJO - ESE</t>
  </si>
  <si>
    <t>20221301010191</t>
  </si>
  <si>
    <t>MUNICIPIO DE SAN MARCOS</t>
  </si>
  <si>
    <t>2023000100040</t>
  </si>
  <si>
    <t>PUNTO ESTRATEGICO RED DE CONSULTORES SAS</t>
  </si>
  <si>
    <t>2023000100050</t>
  </si>
  <si>
    <t>INSTITUTO DE INVESTIGACION DE RECURSOS BIOLOGICOS ALEXANDER VON HUMBOLDT</t>
  </si>
  <si>
    <t>2023002700170</t>
  </si>
  <si>
    <t xml:space="preserve">FONCOLOMBIA FONDO MIXTO PARA EL DESARROLLO INTEGRAL Y LA GESTION SOCIAL DE COLOMBIA </t>
  </si>
  <si>
    <t>2024000100009</t>
  </si>
  <si>
    <t>2024000100100</t>
  </si>
  <si>
    <t>2024000100122</t>
  </si>
  <si>
    <t>2024000100130</t>
  </si>
  <si>
    <t>2024N001660002</t>
  </si>
  <si>
    <t>ASOCIACION CULTURAL AFROCOLOMBIANA DE BUENAVISTA-AFROSDEBUENAVISTA</t>
  </si>
  <si>
    <t>2025002700008</t>
  </si>
  <si>
    <t>MUNICIPIO DE BUENAVISTA</t>
  </si>
  <si>
    <t>2025002700017</t>
  </si>
  <si>
    <t>MUNICIPIO DE SAMPUES</t>
  </si>
  <si>
    <t>2025002700020</t>
  </si>
  <si>
    <t>FONCOLOMBIA FONDO MIXTO PARA EL DESARROLLO INTEGRAL Y LA GESTION SOCIAL DE COLOMBIA</t>
  </si>
  <si>
    <t>20253201010018</t>
  </si>
  <si>
    <t>2020000100022</t>
  </si>
  <si>
    <t>2020000100635</t>
  </si>
  <si>
    <t>SERVICIO NACIONAL DE APRENDIZAJE SENA</t>
  </si>
  <si>
    <t>2021002700095</t>
  </si>
  <si>
    <t>2021707170045</t>
  </si>
  <si>
    <t>2023000020038</t>
  </si>
  <si>
    <t>2025002700037</t>
  </si>
  <si>
    <t xml:space="preserve">SIN CONTRATAR </t>
  </si>
  <si>
    <t>EJECUTOR</t>
  </si>
  <si>
    <t>NOMBRE DEL PROYECTO</t>
  </si>
  <si>
    <t>ALCANCE</t>
  </si>
  <si>
    <t>FUENTE</t>
  </si>
  <si>
    <t>VALOR TOTAL</t>
  </si>
  <si>
    <t>AVANCE FÍSICO</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</si>
  <si>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</si>
  <si>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</si>
  <si>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</si>
  <si>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</si>
  <si>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</si>
  <si>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</si>
  <si>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</si>
  <si>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</si>
  <si>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</si>
  <si>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</si>
  <si>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</si>
  <si>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 con contrato en ejecución y calificación de 75 puntos en el mes de febrero, conforme a su avance de ejecución, teniendo en cuenta el costo, la programación y la brecha entre lo físico y lo financiero.</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</si>
  <si>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</si>
  <si>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</si>
  <si>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</si>
  <si>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</si>
  <si>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Proyecto en ejecución con contrato suspendido</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</si>
  <si>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</si>
  <si>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</si>
  <si>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</si>
  <si>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</si>
  <si>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</si>
  <si>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Morroa, San Pedro, Santiago de Tolú, Sincelejo, Corozal</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</si>
  <si>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</si>
  <si>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</si>
  <si>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</si>
  <si>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San Luis de Sincé, Caimito</t>
  </si>
  <si>
    <t>Construcción de los embarcaderos marítimos públicos ubicados en el municipio de Santiago de Tolú departamento de Sucre</t>
  </si>
  <si>
    <t xml:space="preserve">SE CONSTRUIRA UN EMBARCADEROS MARITIMOS EN EL MUNICIPIO DE SANTIAGO DE TOLU DEL DEPARTAMENTO DE SUCRE </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</si>
  <si>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</si>
  <si>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</si>
  <si>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</si>
  <si>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</si>
  <si>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</si>
  <si>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</si>
  <si>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Estudios de prefactibilidad y factibilidad para la estructuración de proyectos de generación de energía eléctrica fotovoltaica en Sucre</t>
  </si>
  <si>
    <t xml:space="preserve">INCREMENTAR LA ACCESIBILIDAD Y CALIDAD EN LA PRESTACIÓN DEL SERVICIO ELÉCTRICO EN SUCRE. </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</si>
  <si>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</si>
  <si>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</si>
  <si>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Contratado sin ejecución</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</si>
  <si>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</si>
  <si>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</si>
  <si>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</si>
  <si>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</si>
  <si>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</si>
  <si>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</si>
  <si>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</si>
  <si>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</si>
  <si>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</si>
  <si>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</si>
  <si>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</si>
  <si>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 xml:space="preserve">COMENTARIOS </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</si>
  <si>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</si>
  <si>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</si>
  <si>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</si>
  <si>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Morroa, Colosó</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</si>
  <si>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</si>
  <si>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</si>
  <si>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</si>
  <si>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</si>
  <si>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</si>
  <si>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</si>
  <si>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</si>
  <si>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</si>
  <si>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</si>
  <si>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</si>
  <si>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</si>
  <si>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</si>
  <si>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Coveñas, Santiago de Tolú</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</si>
  <si>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</si>
  <si>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</si>
  <si>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</si>
  <si>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</si>
  <si>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</si>
  <si>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</si>
  <si>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</si>
  <si>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</si>
  <si>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</si>
  <si>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</si>
  <si>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</si>
  <si>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</si>
  <si>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</si>
  <si>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</si>
  <si>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</si>
  <si>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</si>
  <si>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</si>
  <si>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</si>
  <si>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</si>
  <si>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</si>
  <si>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</si>
  <si>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</si>
  <si>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Formación De Capital Humano De Alto Nivel Nacional</t>
  </si>
  <si>
    <t>Formación de alto nivel mediante la financiación de 31 créditos educativos condonables a nivel de doctorado</t>
  </si>
  <si>
    <t>Barranquilla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</si>
  <si>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</si>
  <si>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</si>
  <si>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Chía</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</si>
  <si>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</si>
  <si>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</si>
  <si>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</si>
  <si>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</si>
  <si>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</si>
  <si>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</si>
  <si>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</si>
  <si>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</si>
  <si>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</si>
  <si>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</si>
  <si>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</si>
  <si>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</si>
  <si>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</si>
  <si>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</si>
  <si>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</si>
  <si>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</si>
  <si>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</si>
  <si>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</si>
  <si>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</si>
  <si>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</si>
  <si>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</si>
  <si>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</si>
  <si>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</si>
  <si>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</si>
  <si>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</si>
  <si>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</si>
  <si>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</si>
  <si>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</si>
  <si>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</si>
  <si>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</si>
  <si>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</si>
  <si>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</si>
  <si>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</si>
  <si>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</si>
  <si>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</si>
  <si>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</si>
  <si>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</si>
  <si>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</si>
  <si>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</si>
  <si>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</si>
  <si>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</si>
  <si>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</si>
  <si>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</si>
  <si>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</si>
  <si>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</si>
  <si>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</si>
  <si>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</si>
  <si>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</si>
  <si>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</si>
  <si>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</si>
  <si>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</si>
  <si>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</si>
  <si>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</si>
  <si>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</si>
  <si>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</si>
  <si>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</si>
  <si>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</si>
  <si>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</si>
  <si>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</si>
  <si>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</si>
  <si>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</si>
  <si>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</si>
  <si>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</si>
  <si>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</si>
  <si>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</si>
  <si>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</si>
  <si>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</si>
  <si>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</si>
  <si>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</si>
  <si>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</si>
  <si>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</si>
  <si>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</si>
  <si>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</si>
  <si>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</si>
  <si>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</si>
  <si>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</si>
  <si>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</si>
  <si>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</si>
  <si>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</si>
  <si>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</si>
  <si>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</si>
  <si>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</si>
  <si>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</si>
  <si>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</si>
  <si>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</si>
  <si>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</si>
  <si>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</si>
  <si>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</si>
  <si>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</si>
  <si>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</si>
  <si>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</si>
  <si>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</si>
  <si>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</si>
  <si>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</si>
  <si>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</si>
  <si>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Formación de capital humano de alto nivel cohorte II - Universidad de Cartagena Nacional</t>
  </si>
  <si>
    <t xml:space="preserve">Promover el acceso de la población a programas de Formación de Alto Nivel </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</si>
  <si>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</si>
  <si>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</si>
  <si>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</si>
  <si>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</si>
  <si>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</si>
  <si>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</si>
  <si>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Formación Nacional de alto nivel en la Universidad de Antioquia</t>
  </si>
  <si>
    <t xml:space="preserve">Promover el acceso de la población a programas de formación de alto nivel </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</si>
  <si>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</si>
  <si>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</si>
  <si>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</si>
  <si>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</si>
  <si>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</si>
  <si>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</si>
  <si>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</si>
  <si>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</si>
  <si>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Formación de alto nivel Universidad Simón Bolívar-Corte 2 Nacional</t>
  </si>
  <si>
    <t xml:space="preserve">Formación de alto nivel mediante la financiación de 8 créditos condonables a nivel de doctorado en la Universidad Simón Bolívar para el capital humano del país. </t>
  </si>
  <si>
    <t>Formación de capital humano de alto nivel - Universidad de Sucre</t>
  </si>
  <si>
    <t xml:space="preserve">Formación a nivel doctoral de 3 investigadores del departamento de Sucre por la Universidad de Sucre, en el marco del Programa de Becas de Excelencia del SGR. </t>
  </si>
  <si>
    <t>Formación de capital humano de alto nivel Universidad EAFIT - corte 2 Nacional</t>
  </si>
  <si>
    <t xml:space="preserve">Incrementar las capacidades de talento humano en investigación de calidad e impacto de 12 beneficiarios mediante estudios de doctorado. </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</si>
  <si>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</si>
  <si>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</si>
  <si>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</si>
  <si>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</si>
  <si>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</si>
  <si>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</si>
  <si>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</si>
  <si>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</si>
  <si>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</si>
  <si>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Formación de capital humano de alto nivel Universidad de Córdoba Nacional</t>
  </si>
  <si>
    <t xml:space="preserve">Servicio de apoyo financiero para la formación de nivel doctoral mediante once (11) becas otorgadas en el Departamento de Córdoba. </t>
  </si>
  <si>
    <t>Montería</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</si>
  <si>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</si>
  <si>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</si>
  <si>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Formación DE CAPITAL HUMANO DE ALTO NIVEL UNIVERSIDAD TECNOLÓGICA DE BOLÍVAR Nacional</t>
  </si>
  <si>
    <t xml:space="preserve">Incrementar las capacidades del talento humano en investigación de calidad e impacto </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</si>
  <si>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</si>
  <si>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</si>
  <si>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</si>
  <si>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</si>
  <si>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</si>
  <si>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</si>
  <si>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</si>
  <si>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</si>
  <si>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</si>
  <si>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</si>
  <si>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</si>
  <si>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</si>
  <si>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</si>
  <si>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</si>
  <si>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</si>
  <si>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</si>
  <si>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</si>
  <si>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Remodelación y ampliación del parque los abetos en el municipio de Sincé departamento de Sucre</t>
  </si>
  <si>
    <t xml:space="preserve">Mejoramiento de las condiciones actuales y ampliación del parque los abetos en el municipio de Sincé. </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</si>
  <si>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</si>
  <si>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</si>
  <si>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</si>
  <si>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</si>
  <si>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</si>
  <si>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</si>
  <si>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</si>
  <si>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</si>
  <si>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</si>
  <si>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</si>
  <si>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</si>
  <si>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</si>
  <si>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</si>
  <si>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</si>
  <si>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</si>
  <si>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</si>
  <si>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</si>
  <si>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</si>
  <si>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</si>
  <si>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</si>
  <si>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</si>
  <si>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</si>
  <si>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</si>
  <si>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</si>
  <si>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</si>
  <si>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</si>
  <si>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</si>
  <si>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</si>
  <si>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</si>
  <si>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</si>
  <si>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</si>
  <si>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</si>
  <si>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</si>
  <si>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</si>
  <si>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</si>
  <si>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</si>
  <si>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</si>
  <si>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Estudio del Potencial de los Humedales como Depósitos de Carbono para la Mitigación del Cambio Climático en los Departamentos de Sucre Bolívar Atlántico Magdalena La Guajira Córdoba</t>
  </si>
  <si>
    <t>Elaboración DE UN PLAN DE ETNODESARROLLO COMO BASE PARA EL DESARROLLO Y MEJORAMIENTO DE LA CALIDAD DE VIDA DE LAS COMUNIDADES NARP DEL DEPARTAMENTO DE Sucre</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</si>
  <si>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</si>
  <si>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</si>
  <si>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Elaboración de los documentos para la revisión ajuste general e inclusión de determinantes ambientales y de gestión del riesgo del Plan Básico de Ordenamiento Territorial del municipio de Sampués del departamento de Sucre</t>
  </si>
  <si>
    <t>Mejoramiento en concreto rigido de tramos en la red vial urbana del municipio de Sincelejo departamento de Sucre</t>
  </si>
  <si>
    <t xml:space="preserve">MEJORAR LA RED VIAL URBANA EN SINCELEJO INTERVINIENDO 8,625 KMS DE VIAS </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</si>
  <si>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</si>
  <si>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</si>
  <si>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</si>
  <si>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</si>
  <si>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</si>
  <si>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</si>
  <si>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</si>
  <si>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</si>
  <si>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</si>
  <si>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</si>
  <si>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</si>
  <si>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</si>
  <si>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</si>
  <si>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</si>
  <si>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</si>
  <si>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</si>
  <si>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</si>
  <si>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Construcción de obras para la transformación del arroyo grande de corozal y su entorno II etapa en el departamento de Sucre</t>
  </si>
  <si>
    <t xml:space="preserve">SGR - Asignaciones directas
SGR - Asignación para la inversión regional 60% </t>
  </si>
  <si>
    <t>MEJORAR LAS VIAS TERCIARIAS QUE COMUNICAN A SAMPUES CON EL MUNICIPIO DE SINCELEJO A TRAVEZ DE 10,69 KM</t>
  </si>
  <si>
    <t xml:space="preserve">Vía terciaria mejorada </t>
  </si>
  <si>
    <t xml:space="preserve"> Proyecto en estado “Sin contratar”,  Fueron radicados el día 8 de mayo de 2026 en la subsecretaría de contratación los estudios previos y demás documentación soporte, para su respectiva revisión y trámite. Actualmente se encuentra a la espera de la publicación del respectivo proceso contractual.
</t>
  </si>
  <si>
    <t>Santiago de Tolú, Toluviejo</t>
  </si>
  <si>
    <t>BUENAVISTA, CAIMITO, COLOSO, COROZAL, EL ROBLE,
LOS PALMITOS, MAJAGUAL, SAN ANTONIO DE
PALMITOS, SAMPUÉS, SAN BENITO ABAD, SAN JUAN DE
BETULIA, SAN MARCOS, SAN PEDRO, SINCÉ,
TOLUVIEJO.</t>
  </si>
  <si>
    <t>Sampués, Morroa y Sincé</t>
  </si>
  <si>
    <t xml:space="preserve">
 Mediante la Resolución No. 1786 del 30 de abril de 2026, se adjudicó el Contrato No. CM-004-2026, sin embargo,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</si>
  <si>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Mediante la resolución No. 1906 del 08 de mayo de 2026, se ordena la apertura del proceso por concurso de méritos abierto No. CM-003-2026, actualmente se encuentra en la fase de evaluación de propuestas y atención de observaciones.</t>
  </si>
  <si>
    <t>FECHA EN LA QUE PASO A ESTADO PARA CIERRE</t>
  </si>
  <si>
    <t>FECHA DE SUSCRIPCIÓN DEL CONTRATO PRINCIPAL</t>
  </si>
  <si>
    <t>FECHA DE SUSCRIPCIÓN DEL PRIMER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</si>
</sst>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
      <b/>
      <sz val="11"/>
      <color theme="1"/>
      <name val="Calibri"/>
      <family val="2"/>
      <scheme val="minor"/>
    </font>
    <font>
      <b/>
      <sz val="10"/>
      <name val="Roboto"/>
      <family val="2"/>
    </font>
    <font>
      <b/>
      <sz val="11"/>
      <name val="Calibri"/>
      <family val="2"/>
      <scheme val="minor"/>
    </font>
    <font>
      <sz val="11"/>
      <name val="Calibri"/>
      <family val="2"/>
      <scheme val="minor"/>
    </font>
    <font>
      <b/>
      <sz val="10"/>
      <color theme="1"/>
      <name val="Roboto"/>
    </font>
  </fonts>
  <fills count="8">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9BBB59"/>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7">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3" fillId="0" borderId="5" xfId="0"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6"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14" fontId="8" fillId="7"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2">
    <dxf>
      <numFmt numFmtId="0" formatCode="General"/>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10"/>
        <color rgb="FFFFFFFF"/>
        <name val="Roboto"/>
        <family val="2"/>
        <scheme val="none"/>
      </font>
      <fill>
        <patternFill patternType="solid">
          <fgColor indexed="64"/>
          <bgColor rgb="FF31869B"/>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right style="thin">
          <color auto="1"/>
        </right>
      </border>
    </dxf>
    <dxf>
      <numFmt numFmtId="0" formatCode="General"/>
    </dxf>
    <dxf>
      <font>
        <sz val="10"/>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left style="thin">
          <color auto="1"/>
        </left>
      </border>
    </dxf>
    <dxf>
      <numFmt numFmtId="30" formatCode="@"/>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auto="1"/>
        </right>
      </border>
    </dxf>
    <dxf>
      <font>
        <sz val="10"/>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5"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Indicadores" id="{2DDBD40F-D4F1-4521-8D8A-73A487D43318}" userId="S::indicadores@gobsucre.gov.co::02808296-9b50-4de7-87da-922b41862e1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680A93-E09F-4D4D-8A62-9297A36F47BF}" name="Tabla4" displayName="Tabla4" ref="A1:E26" totalsRowShown="0" headerRowDxfId="26" dataDxfId="24" headerRowBorderDxfId="25" tableBorderDxfId="23" totalsRowBorderDxfId="22">
  <autoFilter ref="A1:E26" xr:uid="{BC95059C-E8C7-402F-ACB5-3A5EFCDC0A8F}"/>
  <tableColumns count="5">
    <tableColumn id="1" xr3:uid="{00B5684D-680D-4F06-B17A-D246DA7EC4BA}" name="TIPO DE CAMBIO" dataDxfId="21"/>
    <tableColumn id="2" xr3:uid="{0850F860-206F-4E5D-9ACB-330185397342}" name="CAMBIO" dataDxfId="20"/>
    <tableColumn id="3" xr3:uid="{C43A50F7-2A5D-4E87-9AB5-4E8D0692A798}" name="MATRIZ" dataDxfId="19"/>
    <tableColumn id="5" xr3:uid="{C3391573-845D-42B8-B32F-883FF2105ADC}" name="HERRAMIENTA" dataDxfId="18"/>
    <tableColumn id="4" xr3:uid="{7ED62F82-5B10-4EAC-8EDB-F8190150BB06}" name="REALIZADO" dataDxfId="17"/>
  </tableColumns>
  <tableStyleInfo name="TableStyleLight1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AZ59" totalsRowShown="0">
  <autoFilter ref="A2:AZ59" xr:uid="{00000000-0009-0000-0100-000001000000}"/>
  <tableColumns count="52">
    <tableColumn id="1" xr3:uid="{00000000-0010-0000-0000-000001000000}" name="BPIN" dataDxfId="16"/>
    <tableColumn id="2" xr3:uid="{00000000-0010-0000-0000-000002000000}" name="ENTIDAD O SECRETARIA" dataDxfId="15"/>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52" xr3:uid="{E036A4E5-34E4-46E7-A1F3-AD83D6363F18}" name="FECHA DE SUSCRIPCIÓN DEL PRIMER CONTRATO" dataDxfId="14"/>
    <tableColumn id="28" xr3:uid="{00000000-0010-0000-0000-00001C000000}" name="FECHA ACTA INICIO"/>
    <tableColumn id="29" xr3:uid="{00000000-0010-0000-0000-00001D000000}" name="HORIZONTE DEL PROYECTO"/>
    <tableColumn id="30" xr3:uid="{00000000-0010-0000-0000-00001E000000}" name="FECHA DE FINALIZACIÓN"/>
    <tableColumn id="51" xr3:uid="{C090CC8F-BACE-4FF3-860D-E39729285D80}" name="FECHA EN LA QUE PASO A ESTADO PARA CIERRE" dataDxfId="13"/>
    <tableColumn id="31" xr3:uid="{00000000-0010-0000-0000-00001F000000}" name="FECHA DE CORTE GESPROY"/>
    <tableColumn id="32" xr3:uid="{00000000-0010-0000-0000-000020000000}" name="INFORMACIÓN SOLICITADA"/>
    <tableColumn id="33" xr3:uid="{00000000-0010-0000-0000-000021000000}" name="INFORMACIÓN RECIBIDA"/>
    <tableColumn id="34" xr3:uid="{00000000-0010-0000-0000-000022000000}" name="FECHA DE RECIBO DE INFORMACIÓN"/>
    <tableColumn id="35" xr3:uid="{00000000-0010-0000-0000-000023000000}" name="DIAS DESDE LA APROBACIÓN HASTA APERTURA DEL PRIMER PROCESO"/>
    <tableColumn id="36" xr3:uid="{00000000-0010-0000-0000-000024000000}" name="DIAS DESDE LA APERTURA HASTA LA FIRMA DEL PRIMER CONTRATO"/>
    <tableColumn id="37" xr3:uid="{00000000-0010-0000-0000-000025000000}" name="DIAS DESDE LA FECHA DE SUSCRIPCIÓN HASTA LA FECHA DEL ACTA DE INICIO"/>
    <tableColumn id="38" xr3:uid="{00000000-0010-0000-0000-000026000000}" name="DESEMPEÑO EN EL CRONOGRAMA"/>
    <tableColumn id="39" xr3:uid="{00000000-0010-0000-0000-000027000000}" name="DESEMPEÑO EN EL COSTO"/>
    <tableColumn id="40" xr3:uid="{00000000-0010-0000-0000-000028000000}" name="COLUMNA APOYO"/>
    <tableColumn id="41" xr3:uid="{00000000-0010-0000-0000-000029000000}" name="BRECHA FISICO - FINANCIERA"/>
    <tableColumn id="42" xr3:uid="{00000000-0010-0000-0000-00002A000000}" name="CONTROL EXTERNALIDADES"/>
    <tableColumn id="43" xr3:uid="{00000000-0010-0000-0000-00002B000000}" name="CALIFICACIÓN DESEMPEÑO EN LA CONTRATACIÓN"/>
    <tableColumn id="44" xr3:uid="{00000000-0010-0000-0000-00002C000000}" name="CALIFICACIÓN INFORMACIÓN A TIEMPO"/>
    <tableColumn id="45" xr3:uid="{00000000-0010-0000-0000-00002D000000}" name="CALIFICACIÓN CALIDAD INFORMACIÓN"/>
    <tableColumn id="46" xr3:uid="{00000000-0010-0000-0000-00002E000000}" name="COLUMNA APOYO 2"/>
    <tableColumn id="47" xr3:uid="{00000000-0010-0000-0000-00002F000000}" name="CALIFICACIÓN EJECUCIÓN DEL PROYECTO" dataDxfId="12">
      <calculatedColumnFormula>IFERROR(IF($G3="CONTRATADO EN EJECUCIÓN",IF(AND(ISNUMBER($AD3),ISNUMBER($AG3),$AD3&lt;$AG3),0,IF($AR3&gt;=1,(IFERROR(IF(ISTEXT($AH3),($AN3*0.4+$AO3*0.2+$AQ3*0.4),""),""))*$AV3/100,IFERROR(IF(ISTEXT($AH3),($AN3*0.4+$AO3*0.2+$AQ3*0.4),""),""))),IF($G3="CONTRATADO SIN ACTA DE INICIO",IF(AND($AG3-$AB3&gt;=0,$AG3-$AB3&lt;=30),100,0),"")),"Revisar")</calculatedColumnFormula>
    </tableColumn>
    <tableColumn id="48" xr3:uid="{00000000-0010-0000-0000-000030000000}" name="COMENTARIOS CALIFICACIÓN" dataDxfId="11"/>
    <tableColumn id="49" xr3:uid="{0B47AE52-5D8E-41D9-8E02-B1CBE91FBD9C}" name="RESPONSABLE CARGUE EN GESPROY" dataDxfId="10"/>
    <tableColumn id="50" xr3:uid="{85EBF371-8E1F-4E2C-843F-EB6B2D1C1455}" name="MUNICIPIOS"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1D5E7F-886B-44F6-87F1-2B9EB2A93D0D}" name="Tabla5" displayName="Tabla5" ref="A1:C176" totalsRowShown="0" headerRowDxfId="8" headerRowBorderDxfId="7" tableBorderDxfId="6" totalsRowBorderDxfId="5">
  <autoFilter ref="A1:C176" xr:uid="{901D5E7F-886B-44F6-87F1-2B9EB2A93D0D}"/>
  <tableColumns count="3">
    <tableColumn id="1" xr3:uid="{99E997E3-2CEC-4F3E-8738-BC5E0E5CF370}" name="BPIN" dataDxfId="4"/>
    <tableColumn id="2" xr3:uid="{E64283D6-49A8-4042-B70A-6E95EF68760C}" name="ENTIDAD O SECRETARIA" dataDxfId="3"/>
    <tableColumn id="3" xr3:uid="{7014C4E2-CB40-4F80-9DA5-BA0A2FF8DFBF}" name="ESTADO PROYECTO" dataDxfId="2"/>
  </tableColumns>
  <tableStyleInfo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O18" totalsRowShown="0">
  <autoFilter ref="A2:AO18" xr:uid="{00000000-0009-0000-0100-000002000000}"/>
  <tableColumns count="41">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41" xr3:uid="{A8611C6E-E2F8-4180-8834-5CB2E451BADE}" name="FECHA DE SUSCRIPCIÓN DEL PRIMER CONTRATO" dataDxfId="31"/>
    <tableColumn id="22" xr3:uid="{00000000-0010-0000-0100-000016000000}" name="FECHA ACTA INICIO"/>
    <tableColumn id="39" xr3:uid="{EB9A8E1B-7DA7-46A0-8178-E11424FA43F8}" name="HORIZONTE DEL PROYECTO" dataDxfId="30"/>
    <tableColumn id="40" xr3:uid="{85A42A79-D0F7-4EC7-AEBC-29792C1A8362}" name="FECHA EN LA QUE PASO A ESTADO PARA CIERRE" dataDxfId="29"/>
    <tableColumn id="23" xr3:uid="{00000000-0010-0000-0100-000017000000}" name="FECHA DE CORTE GESPROY"/>
    <tableColumn id="24" xr3:uid="{00000000-0010-0000-0100-000018000000}" name="DIAS DESDE LA APROBACIÓN HASTA APERTURA DEL PRIMER PROCESO"/>
    <tableColumn id="25" xr3:uid="{00000000-0010-0000-0100-000019000000}" name="DIAS DESDE LA APERTURA HASTA LA FIRMA DEL PRIMER CONTRATO"/>
    <tableColumn id="26" xr3:uid="{00000000-0010-0000-0100-00001A000000}" name="DIAS DESDE LA FECHA DE SUSCRIPCIÓN HASTA LA FECHA DEL ACTA DE INICIO"/>
    <tableColumn id="27" xr3:uid="{00000000-0010-0000-0100-00001B000000}" name="DESEMPEÑO EN EL CRONOGRAMA"/>
    <tableColumn id="28" xr3:uid="{00000000-0010-0000-0100-00001C000000}" name="DESEMPEÑO EN EL COSTO"/>
    <tableColumn id="29" xr3:uid="{00000000-0010-0000-0100-00001D000000}" name="COLUMNA APOYO"/>
    <tableColumn id="30" xr3:uid="{00000000-0010-0000-0100-00001E000000}" name="BRECHA FISICO - FINANCIERA"/>
    <tableColumn id="31" xr3:uid="{00000000-0010-0000-0100-00001F000000}" name="CONTROL EXTERNALIDADES"/>
    <tableColumn id="32" xr3:uid="{00000000-0010-0000-0100-000020000000}" name="CALIFICACIÓN DESEMPEÑO EN LA CONTRATACIÓN"/>
    <tableColumn id="33" xr3:uid="{00000000-0010-0000-0100-000021000000}" name="CALIFICACIÓN INFORMACIÓN A TIEMPO"/>
    <tableColumn id="34" xr3:uid="{00000000-0010-0000-0100-000022000000}" name="CALIFICACIÓN CALIDAD INFORMACIÓN"/>
    <tableColumn id="35" xr3:uid="{00000000-0010-0000-0100-000023000000}" name="COLUMNA APOYO 2"/>
    <tableColumn id="36" xr3:uid="{00000000-0010-0000-0100-000024000000}" name="CALIFICACIÓN EJECUCIÓN DEL PROYECTO" dataDxfId="0">
      <calculatedColumnFormula>IFERROR(IF($G3="CONTRATADO EN EJECUCIÓN",IF(AND(ISNUMBER($X3),ISNUMBER($Z3),$X3&lt;$Z3),0,IF($AH3&gt;=1,(IFERROR(IF(ISNUMBER($AJ3),($AD3*0.4+$AE3*0.2+$AG3*0.4),""),""))*$AL3/100,IFERROR(IF(ISNUMBER($AJ3),($AD3*0.4+$AE3*0.2+$AG3*0.4),""),""))),IF($G3="CONTRATADO SIN ACTA DE INICIO",IF(AND($Z3-$V3&gt;=0,$Z3-$V3&lt;=30),100,0),"")),"")</calculatedColumnFormula>
    </tableColumn>
    <tableColumn id="37" xr3:uid="{00000000-0010-0000-0100-000025000000}" name="COMENTARIOS CALIFICACIÓN" dataDxfId="28"/>
    <tableColumn id="38" xr3:uid="{D24D1609-6988-4A97-9BB0-284F74971309}" name="MUNICIPIOS" dataDxfId="2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4" totalsRowShown="0">
  <autoFilter ref="A2:S104"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
    <tableColumn id="19" xr3:uid="{CA52A6B0-FF19-445D-8675-847F209870D3}" name="MUNICIPIOS"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B53" dT="2026-06-05T18:08:38.14" personId="{2DDBD40F-D4F1-4521-8D8A-73A487D43318}" id="{82B7C04B-F0DD-44EA-B29D-6728FBCFCE51}">
    <text>Revisar si este es el primero</text>
  </threadedComment>
</ThreadedComments>
</file>

<file path=xl/threadedComments/threadedComment2.xml><?xml version="1.0" encoding="utf-8"?>
<ThreadedComments xmlns="http://schemas.microsoft.com/office/spreadsheetml/2018/threadedcomments" xmlns:x="http://schemas.openxmlformats.org/spreadsheetml/2006/main">
  <threadedComment ref="V16" dT="2026-06-05T18:22:18.42" personId="{2DDBD40F-D4F1-4521-8D8A-73A487D43318}" id="{3DC57012-9491-4551-95BD-F507AF7C73BC}">
    <text>Revisar si es la primera fecha</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246E-1041-42FC-9276-EE9890517FFA}">
  <sheetPr codeName="Hoja5"/>
  <dimension ref="A1:D28"/>
  <sheetViews>
    <sheetView workbookViewId="0">
      <selection activeCell="C10" sqref="C10"/>
    </sheetView>
  </sheetViews>
  <sheetFormatPr baseColWidth="10" defaultColWidth="11.44140625" defaultRowHeight="14.4" x14ac:dyDescent="0.3"/>
  <cols>
    <col min="2" max="2" width="21.88671875" customWidth="1"/>
    <col min="3" max="3" width="46.6640625" customWidth="1"/>
    <col min="4" max="4" width="25.44140625" customWidth="1"/>
  </cols>
  <sheetData>
    <row r="1" spans="1:4" x14ac:dyDescent="0.3">
      <c r="A1" s="20" t="s">
        <v>0</v>
      </c>
      <c r="B1" s="20" t="s">
        <v>1</v>
      </c>
      <c r="C1" s="20" t="s">
        <v>2</v>
      </c>
      <c r="D1" s="20" t="s">
        <v>3</v>
      </c>
    </row>
    <row r="2" spans="1:4" x14ac:dyDescent="0.3">
      <c r="A2" s="21">
        <v>1</v>
      </c>
      <c r="B2" s="21" t="s">
        <v>4</v>
      </c>
      <c r="C2" s="21" t="s">
        <v>5</v>
      </c>
      <c r="D2" t="s">
        <v>5</v>
      </c>
    </row>
    <row r="3" spans="1:4" x14ac:dyDescent="0.3">
      <c r="A3" s="21">
        <v>2</v>
      </c>
      <c r="B3" s="21" t="s">
        <v>4</v>
      </c>
      <c r="C3" s="21" t="s">
        <v>6</v>
      </c>
      <c r="D3" t="s">
        <v>6</v>
      </c>
    </row>
    <row r="4" spans="1:4" x14ac:dyDescent="0.3">
      <c r="A4" s="21">
        <v>3</v>
      </c>
      <c r="B4" s="21" t="s">
        <v>4</v>
      </c>
      <c r="C4" s="21" t="s">
        <v>7</v>
      </c>
      <c r="D4" t="s">
        <v>7</v>
      </c>
    </row>
    <row r="5" spans="1:4" x14ac:dyDescent="0.3">
      <c r="A5" s="21">
        <v>4</v>
      </c>
      <c r="B5" s="21" t="s">
        <v>4</v>
      </c>
      <c r="C5" s="21" t="s">
        <v>8</v>
      </c>
      <c r="D5" t="s">
        <v>8</v>
      </c>
    </row>
    <row r="6" spans="1:4" x14ac:dyDescent="0.3">
      <c r="A6" s="21">
        <v>5</v>
      </c>
      <c r="B6" s="21" t="s">
        <v>4</v>
      </c>
      <c r="C6" s="21" t="s">
        <v>9</v>
      </c>
      <c r="D6" t="s">
        <v>9</v>
      </c>
    </row>
    <row r="7" spans="1:4" x14ac:dyDescent="0.3">
      <c r="A7" s="21">
        <v>6</v>
      </c>
      <c r="B7" s="21" t="s">
        <v>4</v>
      </c>
      <c r="C7" s="21" t="s">
        <v>10</v>
      </c>
      <c r="D7" t="s">
        <v>11</v>
      </c>
    </row>
    <row r="8" spans="1:4" x14ac:dyDescent="0.3">
      <c r="A8" s="21">
        <v>7</v>
      </c>
      <c r="B8" s="21" t="s">
        <v>4</v>
      </c>
      <c r="C8" s="21" t="s">
        <v>12</v>
      </c>
      <c r="D8" t="s">
        <v>12</v>
      </c>
    </row>
    <row r="9" spans="1:4" x14ac:dyDescent="0.3">
      <c r="A9" s="21">
        <v>8</v>
      </c>
      <c r="B9" s="21" t="s">
        <v>4</v>
      </c>
      <c r="C9" s="22" t="s">
        <v>13</v>
      </c>
      <c r="D9" t="s">
        <v>14</v>
      </c>
    </row>
    <row r="10" spans="1:4" x14ac:dyDescent="0.3">
      <c r="A10" s="21">
        <v>9</v>
      </c>
      <c r="B10" s="21" t="s">
        <v>4</v>
      </c>
      <c r="C10" s="21" t="s">
        <v>15</v>
      </c>
      <c r="D10" t="s">
        <v>15</v>
      </c>
    </row>
    <row r="11" spans="1:4" x14ac:dyDescent="0.3">
      <c r="A11" s="21">
        <v>10</v>
      </c>
      <c r="B11" s="21" t="s">
        <v>4</v>
      </c>
      <c r="C11" s="21" t="s">
        <v>16</v>
      </c>
      <c r="D11" t="s">
        <v>16</v>
      </c>
    </row>
    <row r="12" spans="1:4" x14ac:dyDescent="0.3">
      <c r="A12" s="21">
        <v>11</v>
      </c>
      <c r="B12" s="21" t="s">
        <v>4</v>
      </c>
      <c r="C12" s="21" t="s">
        <v>17</v>
      </c>
      <c r="D12" t="s">
        <v>17</v>
      </c>
    </row>
    <row r="13" spans="1:4" x14ac:dyDescent="0.3">
      <c r="A13" s="21">
        <v>12</v>
      </c>
      <c r="B13" s="21" t="s">
        <v>18</v>
      </c>
      <c r="C13" s="21" t="s">
        <v>19</v>
      </c>
      <c r="D13" t="s">
        <v>19</v>
      </c>
    </row>
    <row r="14" spans="1:4" x14ac:dyDescent="0.3">
      <c r="A14" s="21">
        <v>13</v>
      </c>
      <c r="B14" s="21" t="s">
        <v>18</v>
      </c>
      <c r="C14" s="21" t="s">
        <v>20</v>
      </c>
      <c r="D14" t="s">
        <v>20</v>
      </c>
    </row>
    <row r="15" spans="1:4" x14ac:dyDescent="0.3">
      <c r="A15" s="21">
        <v>14</v>
      </c>
      <c r="B15" s="21" t="s">
        <v>18</v>
      </c>
      <c r="C15" s="21" t="s">
        <v>21</v>
      </c>
      <c r="D15" t="s">
        <v>21</v>
      </c>
    </row>
    <row r="16" spans="1:4" x14ac:dyDescent="0.3">
      <c r="A16" s="21">
        <v>15</v>
      </c>
      <c r="B16" s="21" t="s">
        <v>22</v>
      </c>
      <c r="C16" s="22" t="s">
        <v>23</v>
      </c>
      <c r="D16" t="s">
        <v>23</v>
      </c>
    </row>
    <row r="17" spans="1:4" x14ac:dyDescent="0.3">
      <c r="A17" s="21">
        <v>16</v>
      </c>
      <c r="B17" s="21" t="s">
        <v>22</v>
      </c>
      <c r="C17" s="22" t="s">
        <v>24</v>
      </c>
      <c r="D17" t="s">
        <v>25</v>
      </c>
    </row>
    <row r="18" spans="1:4" x14ac:dyDescent="0.3">
      <c r="A18" s="21">
        <v>17</v>
      </c>
      <c r="B18" s="21" t="s">
        <v>22</v>
      </c>
      <c r="C18" s="21" t="s">
        <v>26</v>
      </c>
      <c r="D18" t="s">
        <v>26</v>
      </c>
    </row>
    <row r="19" spans="1:4" x14ac:dyDescent="0.3">
      <c r="A19" s="21">
        <v>18</v>
      </c>
      <c r="B19" s="21" t="s">
        <v>22</v>
      </c>
      <c r="C19" s="21" t="s">
        <v>27</v>
      </c>
      <c r="D19" t="s">
        <v>27</v>
      </c>
    </row>
    <row r="20" spans="1:4" x14ac:dyDescent="0.3">
      <c r="A20" s="21">
        <v>19</v>
      </c>
      <c r="B20" s="21" t="s">
        <v>22</v>
      </c>
      <c r="C20" s="22" t="s">
        <v>28</v>
      </c>
      <c r="D20" t="s">
        <v>28</v>
      </c>
    </row>
    <row r="21" spans="1:4" x14ac:dyDescent="0.3">
      <c r="A21" s="21">
        <v>20</v>
      </c>
      <c r="B21" s="21" t="s">
        <v>29</v>
      </c>
      <c r="C21" s="21" t="s">
        <v>30</v>
      </c>
      <c r="D21" t="s">
        <v>30</v>
      </c>
    </row>
    <row r="22" spans="1:4" x14ac:dyDescent="0.3">
      <c r="A22" s="21">
        <v>21</v>
      </c>
      <c r="B22" s="21" t="s">
        <v>29</v>
      </c>
      <c r="C22" s="21" t="s">
        <v>31</v>
      </c>
      <c r="D22" t="s">
        <v>31</v>
      </c>
    </row>
    <row r="23" spans="1:4" x14ac:dyDescent="0.3">
      <c r="A23" s="21">
        <v>22</v>
      </c>
      <c r="B23" s="21" t="s">
        <v>29</v>
      </c>
      <c r="C23" s="21" t="s">
        <v>32</v>
      </c>
      <c r="D23" t="s">
        <v>32</v>
      </c>
    </row>
    <row r="24" spans="1:4" x14ac:dyDescent="0.3">
      <c r="A24" s="21">
        <v>23</v>
      </c>
      <c r="B24" s="21" t="s">
        <v>29</v>
      </c>
      <c r="C24" s="21" t="s">
        <v>33</v>
      </c>
      <c r="D24" t="s">
        <v>33</v>
      </c>
    </row>
    <row r="25" spans="1:4" x14ac:dyDescent="0.3">
      <c r="A25" s="21">
        <v>24</v>
      </c>
      <c r="B25" s="21" t="s">
        <v>34</v>
      </c>
      <c r="C25" s="21" t="s">
        <v>35</v>
      </c>
      <c r="D25" t="s">
        <v>35</v>
      </c>
    </row>
    <row r="26" spans="1:4" x14ac:dyDescent="0.3">
      <c r="A26" s="21">
        <v>25</v>
      </c>
      <c r="B26" s="21" t="s">
        <v>34</v>
      </c>
      <c r="C26" s="21" t="s">
        <v>36</v>
      </c>
      <c r="D26" t="s">
        <v>36</v>
      </c>
    </row>
    <row r="27" spans="1:4" x14ac:dyDescent="0.3">
      <c r="A27" s="21">
        <v>26</v>
      </c>
      <c r="B27" s="21" t="s">
        <v>34</v>
      </c>
      <c r="C27" s="21" t="s">
        <v>37</v>
      </c>
      <c r="D27" t="s">
        <v>37</v>
      </c>
    </row>
    <row r="28" spans="1:4" x14ac:dyDescent="0.3">
      <c r="B28" s="21" t="s">
        <v>38</v>
      </c>
      <c r="C28" s="21" t="s">
        <v>39</v>
      </c>
      <c r="D2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494E-F5FA-45B0-8046-A8A35D593322}">
  <sheetPr codeName="Hoja4"/>
  <dimension ref="A1:E26"/>
  <sheetViews>
    <sheetView workbookViewId="0">
      <selection activeCell="C10" sqref="C10"/>
    </sheetView>
  </sheetViews>
  <sheetFormatPr baseColWidth="10" defaultColWidth="11.44140625" defaultRowHeight="14.4" x14ac:dyDescent="0.3"/>
  <cols>
    <col min="1" max="1" width="28.88671875" customWidth="1"/>
    <col min="2" max="2" width="28.6640625" customWidth="1"/>
    <col min="3" max="4" width="20.109375" customWidth="1"/>
    <col min="5" max="5" width="28.88671875" customWidth="1"/>
  </cols>
  <sheetData>
    <row r="1" spans="1:5" x14ac:dyDescent="0.3">
      <c r="A1" s="8" t="s">
        <v>40</v>
      </c>
      <c r="B1" s="9" t="s">
        <v>41</v>
      </c>
      <c r="C1" s="9" t="s">
        <v>42</v>
      </c>
      <c r="D1" s="10" t="s">
        <v>43</v>
      </c>
      <c r="E1" s="10" t="s">
        <v>44</v>
      </c>
    </row>
    <row r="2" spans="1:5" x14ac:dyDescent="0.3">
      <c r="A2" s="11" t="s">
        <v>45</v>
      </c>
      <c r="B2" s="12" t="s">
        <v>46</v>
      </c>
      <c r="C2" s="12" t="s">
        <v>47</v>
      </c>
      <c r="D2" s="13" t="s">
        <v>48</v>
      </c>
      <c r="E2" s="13" t="s">
        <v>49</v>
      </c>
    </row>
    <row r="3" spans="1:5" ht="28.8" x14ac:dyDescent="0.3">
      <c r="A3" s="11" t="s">
        <v>45</v>
      </c>
      <c r="B3" s="12" t="s">
        <v>50</v>
      </c>
      <c r="C3" s="12" t="s">
        <v>51</v>
      </c>
      <c r="D3" s="13" t="s">
        <v>48</v>
      </c>
      <c r="E3" s="13" t="s">
        <v>49</v>
      </c>
    </row>
    <row r="4" spans="1:5" ht="43.2" x14ac:dyDescent="0.3">
      <c r="A4" s="11" t="s">
        <v>52</v>
      </c>
      <c r="B4" s="12" t="s">
        <v>53</v>
      </c>
      <c r="C4" s="12"/>
      <c r="D4" s="13" t="s">
        <v>54</v>
      </c>
      <c r="E4" s="13" t="s">
        <v>49</v>
      </c>
    </row>
    <row r="5" spans="1:5" x14ac:dyDescent="0.3">
      <c r="A5" s="11" t="s">
        <v>55</v>
      </c>
      <c r="B5" s="12" t="s">
        <v>56</v>
      </c>
      <c r="C5" s="12"/>
      <c r="D5" s="13" t="s">
        <v>54</v>
      </c>
      <c r="E5" s="13" t="s">
        <v>49</v>
      </c>
    </row>
    <row r="6" spans="1:5" x14ac:dyDescent="0.3">
      <c r="A6" s="11" t="s">
        <v>57</v>
      </c>
      <c r="B6" s="12" t="s">
        <v>58</v>
      </c>
      <c r="C6" s="12"/>
      <c r="D6" s="13" t="s">
        <v>54</v>
      </c>
      <c r="E6" s="13" t="s">
        <v>49</v>
      </c>
    </row>
    <row r="7" spans="1:5" x14ac:dyDescent="0.3">
      <c r="A7" s="11" t="s">
        <v>57</v>
      </c>
      <c r="B7" s="12" t="s">
        <v>59</v>
      </c>
      <c r="C7" s="12"/>
      <c r="D7" s="13" t="s">
        <v>54</v>
      </c>
      <c r="E7" s="13" t="s">
        <v>49</v>
      </c>
    </row>
    <row r="8" spans="1:5" ht="28.8" x14ac:dyDescent="0.3">
      <c r="A8" s="11" t="s">
        <v>57</v>
      </c>
      <c r="B8" s="12" t="s">
        <v>60</v>
      </c>
      <c r="C8" s="12"/>
      <c r="D8" s="13" t="s">
        <v>54</v>
      </c>
      <c r="E8" s="13" t="s">
        <v>49</v>
      </c>
    </row>
    <row r="9" spans="1:5" ht="43.2" x14ac:dyDescent="0.3">
      <c r="A9" s="11" t="s">
        <v>61</v>
      </c>
      <c r="B9" s="11" t="s">
        <v>62</v>
      </c>
      <c r="C9" s="12" t="s">
        <v>63</v>
      </c>
      <c r="D9" s="13" t="s">
        <v>48</v>
      </c>
      <c r="E9" s="13" t="s">
        <v>49</v>
      </c>
    </row>
    <row r="10" spans="1:5" ht="28.8" x14ac:dyDescent="0.3">
      <c r="A10" s="11" t="s">
        <v>45</v>
      </c>
      <c r="B10" s="12" t="s">
        <v>64</v>
      </c>
      <c r="C10" s="12" t="s">
        <v>65</v>
      </c>
      <c r="D10" s="13" t="s">
        <v>54</v>
      </c>
      <c r="E10" s="13" t="s">
        <v>49</v>
      </c>
    </row>
    <row r="11" spans="1:5" ht="28.8" x14ac:dyDescent="0.3">
      <c r="A11" s="11" t="s">
        <v>57</v>
      </c>
      <c r="B11" s="12" t="s">
        <v>66</v>
      </c>
      <c r="C11" s="12" t="s">
        <v>67</v>
      </c>
      <c r="D11" s="13" t="s">
        <v>54</v>
      </c>
      <c r="E11" s="13" t="s">
        <v>49</v>
      </c>
    </row>
    <row r="12" spans="1:5" ht="28.8" x14ac:dyDescent="0.3">
      <c r="A12" s="11" t="s">
        <v>57</v>
      </c>
      <c r="B12" s="12" t="s">
        <v>68</v>
      </c>
      <c r="C12" s="12" t="s">
        <v>67</v>
      </c>
      <c r="D12" s="13" t="s">
        <v>54</v>
      </c>
      <c r="E12" s="13" t="s">
        <v>49</v>
      </c>
    </row>
    <row r="13" spans="1:5" ht="28.8" x14ac:dyDescent="0.3">
      <c r="A13" s="14" t="s">
        <v>57</v>
      </c>
      <c r="B13" s="15" t="s">
        <v>69</v>
      </c>
      <c r="C13" s="15" t="s">
        <v>70</v>
      </c>
      <c r="D13" s="13" t="s">
        <v>54</v>
      </c>
      <c r="E13" s="16" t="s">
        <v>49</v>
      </c>
    </row>
    <row r="14" spans="1:5" ht="28.8" x14ac:dyDescent="0.3">
      <c r="A14" s="14" t="s">
        <v>57</v>
      </c>
      <c r="B14" s="15" t="s">
        <v>71</v>
      </c>
      <c r="C14" s="15" t="s">
        <v>72</v>
      </c>
      <c r="D14" s="16" t="s">
        <v>54</v>
      </c>
      <c r="E14" s="16" t="s">
        <v>73</v>
      </c>
    </row>
    <row r="15" spans="1:5" ht="28.8" x14ac:dyDescent="0.3">
      <c r="A15" s="14" t="s">
        <v>57</v>
      </c>
      <c r="B15" s="15" t="s">
        <v>74</v>
      </c>
      <c r="C15" s="15" t="s">
        <v>67</v>
      </c>
      <c r="D15" s="16" t="s">
        <v>54</v>
      </c>
      <c r="E15" s="16" t="s">
        <v>73</v>
      </c>
    </row>
    <row r="16" spans="1:5" ht="43.2" x14ac:dyDescent="0.3">
      <c r="A16" s="17" t="s">
        <v>57</v>
      </c>
      <c r="B16" s="18" t="s">
        <v>75</v>
      </c>
      <c r="C16" s="18" t="s">
        <v>67</v>
      </c>
      <c r="D16" s="19" t="s">
        <v>54</v>
      </c>
      <c r="E16" s="19" t="s">
        <v>73</v>
      </c>
    </row>
    <row r="17" spans="1:5" ht="28.8" x14ac:dyDescent="0.3">
      <c r="A17" s="14" t="s">
        <v>57</v>
      </c>
      <c r="B17" s="15" t="s">
        <v>76</v>
      </c>
      <c r="C17" s="15" t="s">
        <v>67</v>
      </c>
      <c r="D17" s="16" t="s">
        <v>54</v>
      </c>
      <c r="E17" s="16" t="s">
        <v>73</v>
      </c>
    </row>
    <row r="18" spans="1:5" ht="28.8" x14ac:dyDescent="0.3">
      <c r="A18" s="14" t="s">
        <v>57</v>
      </c>
      <c r="B18" s="15" t="s">
        <v>77</v>
      </c>
      <c r="C18" s="15" t="s">
        <v>67</v>
      </c>
      <c r="D18" s="16" t="s">
        <v>54</v>
      </c>
      <c r="E18" s="16"/>
    </row>
    <row r="19" spans="1:5" ht="43.2" x14ac:dyDescent="0.3">
      <c r="A19" s="14" t="s">
        <v>57</v>
      </c>
      <c r="B19" s="15" t="s">
        <v>78</v>
      </c>
      <c r="C19" s="15" t="s">
        <v>67</v>
      </c>
      <c r="D19" s="16" t="s">
        <v>54</v>
      </c>
      <c r="E19" s="16"/>
    </row>
    <row r="20" spans="1:5" ht="28.8" x14ac:dyDescent="0.3">
      <c r="A20" s="14" t="s">
        <v>57</v>
      </c>
      <c r="B20" s="15" t="s">
        <v>79</v>
      </c>
      <c r="C20" s="15" t="s">
        <v>67</v>
      </c>
      <c r="D20" s="16" t="s">
        <v>54</v>
      </c>
      <c r="E20" s="16"/>
    </row>
    <row r="21" spans="1:5" ht="28.8" x14ac:dyDescent="0.3">
      <c r="A21" s="14" t="s">
        <v>57</v>
      </c>
      <c r="B21" s="15" t="s">
        <v>80</v>
      </c>
      <c r="C21" s="15" t="s">
        <v>67</v>
      </c>
      <c r="D21" s="16" t="s">
        <v>54</v>
      </c>
      <c r="E21" s="16"/>
    </row>
    <row r="22" spans="1:5" ht="43.2" x14ac:dyDescent="0.3">
      <c r="A22" s="14" t="s">
        <v>57</v>
      </c>
      <c r="B22" s="15" t="s">
        <v>81</v>
      </c>
      <c r="C22" s="15" t="s">
        <v>67</v>
      </c>
      <c r="D22" s="16" t="s">
        <v>54</v>
      </c>
      <c r="E22" s="16"/>
    </row>
    <row r="23" spans="1:5" ht="43.2" x14ac:dyDescent="0.3">
      <c r="A23" s="14" t="s">
        <v>57</v>
      </c>
      <c r="B23" s="15" t="s">
        <v>82</v>
      </c>
      <c r="C23" s="15" t="s">
        <v>67</v>
      </c>
      <c r="D23" s="16" t="s">
        <v>54</v>
      </c>
      <c r="E23" s="16"/>
    </row>
    <row r="24" spans="1:5" ht="43.2" x14ac:dyDescent="0.3">
      <c r="A24" s="14"/>
      <c r="B24" s="15" t="s">
        <v>83</v>
      </c>
      <c r="C24" s="15"/>
      <c r="D24" s="16"/>
      <c r="E24" s="16"/>
    </row>
    <row r="25" spans="1:5" ht="43.2" x14ac:dyDescent="0.3">
      <c r="A25" s="14"/>
      <c r="B25" s="15" t="s">
        <v>84</v>
      </c>
      <c r="C25" s="15"/>
      <c r="D25" s="16"/>
      <c r="E25" s="16"/>
    </row>
    <row r="26" spans="1:5" ht="28.8" x14ac:dyDescent="0.3">
      <c r="A26" s="14"/>
      <c r="B26" s="15" t="s">
        <v>85</v>
      </c>
      <c r="C26" s="15"/>
      <c r="D26" s="16"/>
      <c r="E26" s="1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9"/>
  <sheetViews>
    <sheetView topLeftCell="Z1" workbookViewId="0">
      <selection activeCell="AA2" sqref="AA2:AB2"/>
    </sheetView>
  </sheetViews>
  <sheetFormatPr baseColWidth="10" defaultColWidth="8.88671875" defaultRowHeight="14.4" x14ac:dyDescent="0.3"/>
  <cols>
    <col min="1" max="2" width="25.6640625" customWidth="1"/>
    <col min="3" max="3" width="43.6640625" customWidth="1"/>
    <col min="4" max="4" width="46.109375" customWidth="1"/>
    <col min="5" max="5" width="25.6640625" customWidth="1"/>
    <col min="6" max="6" width="42.109375" customWidth="1"/>
    <col min="7" max="7" width="29.44140625" customWidth="1"/>
    <col min="8" max="40" width="25.6640625" customWidth="1"/>
    <col min="41" max="41" width="25.6640625" hidden="1" customWidth="1"/>
    <col min="42" max="46" width="25.6640625" customWidth="1"/>
    <col min="47" max="47" width="25.6640625" hidden="1" customWidth="1"/>
    <col min="48" max="48" width="25.6640625" customWidth="1"/>
    <col min="49" max="49" width="55.33203125" customWidth="1"/>
    <col min="50" max="50" width="25.33203125" customWidth="1"/>
    <col min="51" max="51" width="29.109375" customWidth="1"/>
    <col min="52" max="52" width="27.6640625" customWidth="1"/>
  </cols>
  <sheetData>
    <row r="1" spans="1:52" ht="40.200000000000003" customHeight="1" x14ac:dyDescent="0.3">
      <c r="A1" s="35" t="s">
        <v>86</v>
      </c>
      <c r="B1" s="35"/>
      <c r="C1" s="35"/>
      <c r="D1" s="35"/>
      <c r="E1" s="35"/>
      <c r="F1" s="35"/>
      <c r="G1" s="35"/>
      <c r="H1" s="35"/>
      <c r="I1" s="35"/>
      <c r="J1" s="35"/>
      <c r="K1" s="35"/>
      <c r="L1" s="35"/>
      <c r="M1" s="35"/>
      <c r="N1" s="35"/>
      <c r="O1" s="35"/>
      <c r="P1" s="35"/>
      <c r="Q1" s="35"/>
      <c r="R1" s="35"/>
      <c r="S1" s="35"/>
      <c r="T1" s="35"/>
      <c r="U1" s="36" t="s">
        <v>87</v>
      </c>
      <c r="V1" s="36"/>
      <c r="W1" s="36"/>
      <c r="X1" s="36"/>
      <c r="Y1" s="36"/>
      <c r="Z1" s="36"/>
      <c r="AA1" s="36"/>
      <c r="AB1" s="36"/>
      <c r="AC1" s="36"/>
      <c r="AD1" s="36"/>
      <c r="AE1" s="36"/>
      <c r="AF1" s="36"/>
      <c r="AG1" s="36"/>
      <c r="AH1" s="36"/>
      <c r="AI1" s="36"/>
      <c r="AJ1" s="36"/>
      <c r="AK1" s="36"/>
      <c r="AL1" s="36"/>
      <c r="AM1" s="36"/>
      <c r="AN1" s="36"/>
      <c r="AO1" s="36"/>
      <c r="AP1" s="36"/>
      <c r="AQ1" s="36"/>
      <c r="AR1" s="35" t="s">
        <v>88</v>
      </c>
      <c r="AS1" s="35"/>
      <c r="AT1" s="35"/>
      <c r="AU1" s="35"/>
      <c r="AV1" s="35"/>
      <c r="AW1" s="35"/>
    </row>
    <row r="2" spans="1:52" ht="70.2" customHeight="1" x14ac:dyDescent="0.3">
      <c r="A2" s="1" t="s">
        <v>89</v>
      </c>
      <c r="B2" s="1" t="s">
        <v>90</v>
      </c>
      <c r="C2" s="1" t="s">
        <v>91</v>
      </c>
      <c r="D2" s="1" t="s">
        <v>92</v>
      </c>
      <c r="E2" s="1" t="s">
        <v>93</v>
      </c>
      <c r="F2" s="1" t="s">
        <v>94</v>
      </c>
      <c r="G2" s="1" t="s">
        <v>95</v>
      </c>
      <c r="H2" s="1" t="s">
        <v>96</v>
      </c>
      <c r="I2" s="1" t="s">
        <v>97</v>
      </c>
      <c r="J2" s="1" t="s">
        <v>98</v>
      </c>
      <c r="K2" s="1" t="s">
        <v>99</v>
      </c>
      <c r="L2" s="1" t="s">
        <v>100</v>
      </c>
      <c r="M2" s="1" t="s">
        <v>101</v>
      </c>
      <c r="N2" s="1" t="s">
        <v>102</v>
      </c>
      <c r="O2" s="1" t="s">
        <v>103</v>
      </c>
      <c r="P2" s="1" t="s">
        <v>104</v>
      </c>
      <c r="Q2" s="1" t="s">
        <v>105</v>
      </c>
      <c r="R2" s="1" t="s">
        <v>106</v>
      </c>
      <c r="S2" s="1" t="s">
        <v>107</v>
      </c>
      <c r="T2" s="1" t="s">
        <v>108</v>
      </c>
      <c r="U2" s="2" t="s">
        <v>109</v>
      </c>
      <c r="V2" s="2" t="s">
        <v>110</v>
      </c>
      <c r="W2" s="2" t="s">
        <v>111</v>
      </c>
      <c r="X2" s="2" t="s">
        <v>112</v>
      </c>
      <c r="Y2" s="2" t="s">
        <v>113</v>
      </c>
      <c r="Z2" s="2" t="s">
        <v>114</v>
      </c>
      <c r="AA2" s="2" t="s">
        <v>1078</v>
      </c>
      <c r="AB2" s="2" t="s">
        <v>1079</v>
      </c>
      <c r="AC2" s="2" t="s">
        <v>115</v>
      </c>
      <c r="AD2" s="2" t="s">
        <v>116</v>
      </c>
      <c r="AE2" s="2" t="s">
        <v>117</v>
      </c>
      <c r="AF2" s="2" t="s">
        <v>1077</v>
      </c>
      <c r="AG2" s="2" t="s">
        <v>118</v>
      </c>
      <c r="AH2" s="2" t="s">
        <v>119</v>
      </c>
      <c r="AI2" s="2" t="s">
        <v>120</v>
      </c>
      <c r="AJ2" s="2" t="s">
        <v>121</v>
      </c>
      <c r="AK2" s="2" t="s">
        <v>122</v>
      </c>
      <c r="AL2" s="2" t="s">
        <v>123</v>
      </c>
      <c r="AM2" s="2" t="s">
        <v>124</v>
      </c>
      <c r="AN2" s="2" t="s">
        <v>125</v>
      </c>
      <c r="AO2" s="2" t="s">
        <v>126</v>
      </c>
      <c r="AP2" s="2" t="s">
        <v>127</v>
      </c>
      <c r="AQ2" s="2" t="s">
        <v>128</v>
      </c>
      <c r="AR2" s="2" t="s">
        <v>129</v>
      </c>
      <c r="AS2" s="1" t="s">
        <v>130</v>
      </c>
      <c r="AT2" s="1" t="s">
        <v>131</v>
      </c>
      <c r="AU2" s="1" t="s">
        <v>132</v>
      </c>
      <c r="AV2" s="1" t="s">
        <v>133</v>
      </c>
      <c r="AW2" s="1" t="s">
        <v>134</v>
      </c>
      <c r="AX2" s="1" t="s">
        <v>135</v>
      </c>
      <c r="AY2" s="6" t="s">
        <v>136</v>
      </c>
      <c r="AZ2" s="6" t="s">
        <v>137</v>
      </c>
    </row>
    <row r="3" spans="1:52" ht="166.2" customHeight="1" x14ac:dyDescent="0.3">
      <c r="A3" s="32" t="s">
        <v>138</v>
      </c>
      <c r="B3" s="3" t="s">
        <v>139</v>
      </c>
      <c r="C3" s="3" t="s">
        <v>140</v>
      </c>
      <c r="D3" s="3" t="s">
        <v>141</v>
      </c>
      <c r="E3" s="3" t="s">
        <v>142</v>
      </c>
      <c r="F3" s="3" t="s">
        <v>143</v>
      </c>
      <c r="G3" s="3" t="s">
        <v>144</v>
      </c>
      <c r="H3" s="3" t="s">
        <v>145</v>
      </c>
      <c r="I3" s="3" t="s">
        <v>146</v>
      </c>
      <c r="J3" s="3" t="s">
        <v>147</v>
      </c>
      <c r="K3" s="4">
        <v>1548027380</v>
      </c>
      <c r="L3" s="4">
        <v>0</v>
      </c>
      <c r="M3" s="4">
        <v>0</v>
      </c>
      <c r="N3" s="4">
        <v>0</v>
      </c>
      <c r="O3" s="4">
        <v>1548027380</v>
      </c>
      <c r="P3" s="4">
        <v>1141660214</v>
      </c>
      <c r="Q3" s="5">
        <v>44189</v>
      </c>
      <c r="R3" s="5">
        <v>41534</v>
      </c>
      <c r="S3" s="5">
        <v>41202</v>
      </c>
      <c r="T3" s="5">
        <v>41285</v>
      </c>
      <c r="U3" s="4">
        <v>97.19</v>
      </c>
      <c r="V3" s="4">
        <v>73.75</v>
      </c>
      <c r="W3" s="3"/>
      <c r="X3" s="3"/>
      <c r="Y3" s="5">
        <v>41201</v>
      </c>
      <c r="Z3" s="5">
        <v>42237</v>
      </c>
      <c r="AA3" s="5">
        <v>42254</v>
      </c>
      <c r="AB3" s="5">
        <v>41971</v>
      </c>
      <c r="AC3" s="5">
        <v>42277</v>
      </c>
      <c r="AD3" s="5">
        <v>45260</v>
      </c>
      <c r="AE3" s="5">
        <v>45260</v>
      </c>
      <c r="AF3" s="5"/>
      <c r="AG3" s="5">
        <v>46157</v>
      </c>
      <c r="AH3" s="3" t="s">
        <v>148</v>
      </c>
      <c r="AI3" s="3" t="s">
        <v>149</v>
      </c>
      <c r="AJ3" s="5">
        <v>46157</v>
      </c>
      <c r="AK3" s="3"/>
      <c r="AL3" s="3"/>
      <c r="AM3" s="3"/>
      <c r="AN3" s="3" t="str">
        <f t="shared" ref="AN3:AN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O3" s="3" t="str">
        <f t="shared" ref="AO3:AO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P3" s="3">
        <f t="shared" ref="AP3:AP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Q3" s="3" t="str">
        <f t="shared" ref="AQ3:AQ34" si="3">IF(AND($U3&gt;$V3,$G3="CONTRATADO EN EJECUCIÓN"),100,IF(AND($V3&gt;$U3,($V3-$U3)&gt;50,$G3="CONTRATADO EN EJECUCIÓN"),0,IF(AND($V3&gt;$U3,($V3-$U3)&lt;=50,$V3&lt;=60),100,IF(AND($V3&gt;$U3,($V3-$U3)&lt;=50,$V3&gt;60),$AP3,""))))</f>
        <v/>
      </c>
      <c r="AR3" s="3">
        <v>0</v>
      </c>
      <c r="AS3" s="3"/>
      <c r="AT3" s="3">
        <f t="shared" ref="AT3:AT34" si="4">IF(ISNUMBER($AJ3),IF(DAY($AJ3)=10,100,IF(DAY($AJ3)=11,80,IF(DAY($AJ3)=12,50,0))),"")</f>
        <v>0</v>
      </c>
      <c r="AU3" s="4">
        <v>0</v>
      </c>
      <c r="AV3" s="3">
        <f t="shared" ref="AV3:AV34" si="5">IF($AR3=0,100,IF($AR3=1,90,IF($AR3=2,75,IF($AR3=3,60,IF($AR3=4,50,IF($AR3=5,25,IF($AR3&gt;=6,0,"")))))))</f>
        <v>100</v>
      </c>
      <c r="AW3" s="3" t="str">
        <f t="shared" ref="AW3:AW34" si="6">IFERROR(IF($G3="CONTRATADO EN EJECUCIÓN",IF(AND(ISNUMBER($AD3),ISNUMBER($AG3),$AD3&lt;$AG3),0,IF($AR3&gt;=1,(IFERROR(IF(ISTEXT($AH3),($AN3*0.4+$AO3*0.2+$AQ3*0.4),""),""))*$AV3/100,IFERROR(IF(ISTEXT($AH3),($AN3*0.4+$AO3*0.2+$AQ3*0.4),""),""))),IF($G3="CONTRATADO SIN ACTA DE INICIO",IF(AND($AG3-$AB3&gt;=0,$AG3-$AB3&lt;=30),100,0),"")),"Revisar")</f>
        <v/>
      </c>
      <c r="AX3" s="3" t="s">
        <v>150</v>
      </c>
      <c r="AY3" s="7" t="s">
        <v>151</v>
      </c>
      <c r="AZ3" s="7" t="s">
        <v>5</v>
      </c>
    </row>
    <row r="4" spans="1:52" ht="70.2" customHeight="1" x14ac:dyDescent="0.3">
      <c r="A4" s="32" t="s">
        <v>152</v>
      </c>
      <c r="B4" s="3" t="s">
        <v>153</v>
      </c>
      <c r="C4" s="3" t="s">
        <v>154</v>
      </c>
      <c r="D4" s="3" t="s">
        <v>155</v>
      </c>
      <c r="E4" s="3" t="s">
        <v>156</v>
      </c>
      <c r="F4" s="3" t="s">
        <v>157</v>
      </c>
      <c r="G4" s="3" t="s">
        <v>144</v>
      </c>
      <c r="H4" s="3" t="s">
        <v>145</v>
      </c>
      <c r="I4" s="3" t="s">
        <v>158</v>
      </c>
      <c r="J4" s="3" t="s">
        <v>159</v>
      </c>
      <c r="K4" s="4">
        <v>5000000000</v>
      </c>
      <c r="L4" s="4">
        <v>0</v>
      </c>
      <c r="M4" s="4">
        <v>2520000000</v>
      </c>
      <c r="N4" s="4">
        <v>0</v>
      </c>
      <c r="O4" s="4">
        <v>7520000000</v>
      </c>
      <c r="P4" s="4">
        <v>4999998982.75</v>
      </c>
      <c r="Q4" s="5">
        <v>43829</v>
      </c>
      <c r="R4" s="5">
        <v>41534</v>
      </c>
      <c r="S4" s="5">
        <v>41264</v>
      </c>
      <c r="T4" s="5">
        <v>41327</v>
      </c>
      <c r="U4" s="4">
        <v>99.05</v>
      </c>
      <c r="V4" s="4">
        <v>100</v>
      </c>
      <c r="W4" s="3"/>
      <c r="X4" s="3"/>
      <c r="Y4" s="5">
        <v>41263</v>
      </c>
      <c r="Z4" s="5">
        <v>41586</v>
      </c>
      <c r="AA4" s="5">
        <v>41586</v>
      </c>
      <c r="AB4" s="5">
        <v>41586</v>
      </c>
      <c r="AC4" s="5">
        <v>41803</v>
      </c>
      <c r="AD4" s="5">
        <v>44742</v>
      </c>
      <c r="AE4" s="5"/>
      <c r="AF4" s="5"/>
      <c r="AG4" s="5">
        <v>46157</v>
      </c>
      <c r="AH4" s="3"/>
      <c r="AI4" s="3"/>
      <c r="AJ4" s="5"/>
      <c r="AK4" s="3"/>
      <c r="AL4" s="3"/>
      <c r="AM4" s="3"/>
      <c r="AN4" s="3" t="str">
        <f t="shared" si="0"/>
        <v/>
      </c>
      <c r="AO4" s="3" t="str">
        <f t="shared" si="1"/>
        <v/>
      </c>
      <c r="AP4" s="3">
        <f t="shared" si="2"/>
        <v>100</v>
      </c>
      <c r="AQ4" s="3">
        <f t="shared" si="3"/>
        <v>100</v>
      </c>
      <c r="AR4" s="3">
        <v>0</v>
      </c>
      <c r="AS4" s="3"/>
      <c r="AT4" s="3" t="str">
        <f t="shared" si="4"/>
        <v/>
      </c>
      <c r="AU4" s="4"/>
      <c r="AV4" s="3">
        <f t="shared" si="5"/>
        <v>100</v>
      </c>
      <c r="AW4" s="3" t="str">
        <f t="shared" si="6"/>
        <v/>
      </c>
      <c r="AX4" s="3" t="s">
        <v>160</v>
      </c>
      <c r="AY4" s="7" t="s">
        <v>161</v>
      </c>
      <c r="AZ4" s="7" t="s">
        <v>5</v>
      </c>
    </row>
    <row r="5" spans="1:52" ht="70.2" customHeight="1" x14ac:dyDescent="0.3">
      <c r="A5" s="32" t="s">
        <v>162</v>
      </c>
      <c r="B5" s="3" t="s">
        <v>163</v>
      </c>
      <c r="C5" s="3" t="s">
        <v>164</v>
      </c>
      <c r="D5" s="3" t="s">
        <v>165</v>
      </c>
      <c r="E5" s="3" t="s">
        <v>156</v>
      </c>
      <c r="F5" s="3" t="s">
        <v>166</v>
      </c>
      <c r="G5" s="3" t="s">
        <v>144</v>
      </c>
      <c r="H5" s="3" t="s">
        <v>145</v>
      </c>
      <c r="I5" s="3" t="s">
        <v>158</v>
      </c>
      <c r="J5" s="3" t="s">
        <v>159</v>
      </c>
      <c r="K5" s="4">
        <v>4081742194</v>
      </c>
      <c r="L5" s="4">
        <v>0</v>
      </c>
      <c r="M5" s="4">
        <v>1551552044</v>
      </c>
      <c r="N5" s="4">
        <v>0</v>
      </c>
      <c r="O5" s="4">
        <v>5633294238</v>
      </c>
      <c r="P5" s="4">
        <v>3947804318</v>
      </c>
      <c r="Q5" s="5">
        <v>43782</v>
      </c>
      <c r="R5" s="5">
        <v>41576</v>
      </c>
      <c r="S5" s="5">
        <v>41566</v>
      </c>
      <c r="T5" s="5">
        <v>41596</v>
      </c>
      <c r="U5" s="4">
        <v>98.69</v>
      </c>
      <c r="V5" s="4">
        <v>94.36</v>
      </c>
      <c r="W5" s="3"/>
      <c r="X5" s="3"/>
      <c r="Y5" s="5">
        <v>41565</v>
      </c>
      <c r="Z5" s="5">
        <v>41907</v>
      </c>
      <c r="AA5" s="5">
        <v>41908</v>
      </c>
      <c r="AB5" s="5">
        <v>41908</v>
      </c>
      <c r="AC5" s="5">
        <v>42038</v>
      </c>
      <c r="AD5" s="5">
        <v>44561</v>
      </c>
      <c r="AE5" s="5">
        <v>45689</v>
      </c>
      <c r="AF5" s="5"/>
      <c r="AG5" s="5">
        <v>46157</v>
      </c>
      <c r="AH5" s="3" t="s">
        <v>167</v>
      </c>
      <c r="AI5" s="3" t="s">
        <v>168</v>
      </c>
      <c r="AJ5" s="5">
        <v>46157</v>
      </c>
      <c r="AK5" s="3"/>
      <c r="AL5" s="3"/>
      <c r="AM5" s="3"/>
      <c r="AN5" s="3" t="str">
        <f t="shared" si="0"/>
        <v/>
      </c>
      <c r="AO5" s="3" t="str">
        <f t="shared" si="1"/>
        <v/>
      </c>
      <c r="AP5" s="3">
        <f t="shared" si="2"/>
        <v>100</v>
      </c>
      <c r="AQ5" s="3" t="str">
        <f t="shared" si="3"/>
        <v/>
      </c>
      <c r="AR5" s="3">
        <v>0</v>
      </c>
      <c r="AS5" s="3"/>
      <c r="AT5" s="3">
        <f t="shared" si="4"/>
        <v>0</v>
      </c>
      <c r="AU5" s="4">
        <v>0</v>
      </c>
      <c r="AV5" s="3">
        <f t="shared" si="5"/>
        <v>100</v>
      </c>
      <c r="AW5" s="3" t="str">
        <f t="shared" si="6"/>
        <v/>
      </c>
      <c r="AX5" s="3" t="s">
        <v>169</v>
      </c>
      <c r="AY5" s="7" t="s">
        <v>161</v>
      </c>
      <c r="AZ5" s="7" t="s">
        <v>5</v>
      </c>
    </row>
    <row r="6" spans="1:52" ht="156" customHeight="1" x14ac:dyDescent="0.3">
      <c r="A6" s="32" t="s">
        <v>170</v>
      </c>
      <c r="B6" s="3" t="s">
        <v>171</v>
      </c>
      <c r="C6" s="3" t="s">
        <v>172</v>
      </c>
      <c r="D6" s="3" t="s">
        <v>173</v>
      </c>
      <c r="E6" s="3" t="s">
        <v>156</v>
      </c>
      <c r="F6" s="3" t="s">
        <v>174</v>
      </c>
      <c r="G6" s="3" t="s">
        <v>175</v>
      </c>
      <c r="H6" s="3" t="s">
        <v>176</v>
      </c>
      <c r="I6" s="3" t="s">
        <v>158</v>
      </c>
      <c r="J6" s="3" t="s">
        <v>159</v>
      </c>
      <c r="K6" s="4">
        <v>14661580598</v>
      </c>
      <c r="L6" s="4">
        <v>0</v>
      </c>
      <c r="M6" s="4">
        <v>709988000</v>
      </c>
      <c r="N6" s="4">
        <v>0</v>
      </c>
      <c r="O6" s="4">
        <v>15371568598</v>
      </c>
      <c r="P6" s="4">
        <v>14655980598</v>
      </c>
      <c r="Q6" s="5">
        <v>42003</v>
      </c>
      <c r="R6" s="5">
        <v>41563</v>
      </c>
      <c r="S6" s="5">
        <v>41535</v>
      </c>
      <c r="T6" s="5">
        <v>41535</v>
      </c>
      <c r="U6" s="4">
        <v>95.65</v>
      </c>
      <c r="V6" s="4">
        <v>97.17</v>
      </c>
      <c r="W6" s="3">
        <v>0</v>
      </c>
      <c r="X6" s="3">
        <v>0</v>
      </c>
      <c r="Y6" s="5">
        <v>41474</v>
      </c>
      <c r="Z6" s="5">
        <v>41586</v>
      </c>
      <c r="AA6" s="5">
        <v>41586</v>
      </c>
      <c r="AB6" s="5">
        <v>41586</v>
      </c>
      <c r="AC6" s="5">
        <v>41586</v>
      </c>
      <c r="AD6" s="5">
        <v>45260</v>
      </c>
      <c r="AE6" s="5"/>
      <c r="AF6" s="5"/>
      <c r="AG6" s="5">
        <v>46157</v>
      </c>
      <c r="AH6" s="3" t="s">
        <v>177</v>
      </c>
      <c r="AI6" s="3" t="s">
        <v>149</v>
      </c>
      <c r="AJ6" s="5">
        <v>46157</v>
      </c>
      <c r="AK6" s="3"/>
      <c r="AL6" s="3"/>
      <c r="AM6" s="3"/>
      <c r="AN6" s="3">
        <f t="shared" si="0"/>
        <v>0</v>
      </c>
      <c r="AO6" s="3">
        <f t="shared" si="1"/>
        <v>0</v>
      </c>
      <c r="AP6" s="3">
        <f t="shared" si="2"/>
        <v>100</v>
      </c>
      <c r="AQ6" s="3">
        <f t="shared" si="3"/>
        <v>100</v>
      </c>
      <c r="AR6" s="3">
        <v>0</v>
      </c>
      <c r="AS6" s="3"/>
      <c r="AT6" s="3">
        <f t="shared" si="4"/>
        <v>0</v>
      </c>
      <c r="AU6" s="4">
        <v>0</v>
      </c>
      <c r="AV6" s="3">
        <f t="shared" si="5"/>
        <v>100</v>
      </c>
      <c r="AW6" s="3">
        <f t="shared" si="6"/>
        <v>0</v>
      </c>
      <c r="AX6" s="3" t="s">
        <v>178</v>
      </c>
      <c r="AY6" s="7"/>
      <c r="AZ6" s="7" t="s">
        <v>39</v>
      </c>
    </row>
    <row r="7" spans="1:52" ht="70.2" customHeight="1" x14ac:dyDescent="0.3">
      <c r="A7" s="32" t="s">
        <v>179</v>
      </c>
      <c r="B7" s="3" t="s">
        <v>180</v>
      </c>
      <c r="C7" s="3" t="s">
        <v>181</v>
      </c>
      <c r="D7" s="3" t="s">
        <v>182</v>
      </c>
      <c r="E7" s="3" t="s">
        <v>183</v>
      </c>
      <c r="F7" s="3" t="s">
        <v>184</v>
      </c>
      <c r="G7" s="3" t="s">
        <v>144</v>
      </c>
      <c r="H7" s="3" t="s">
        <v>145</v>
      </c>
      <c r="I7" s="3" t="s">
        <v>185</v>
      </c>
      <c r="J7" s="3" t="s">
        <v>186</v>
      </c>
      <c r="K7" s="4">
        <v>30476618849</v>
      </c>
      <c r="L7" s="4">
        <v>0</v>
      </c>
      <c r="M7" s="4">
        <v>422485223</v>
      </c>
      <c r="N7" s="4">
        <v>0</v>
      </c>
      <c r="O7" s="4">
        <v>30899104072</v>
      </c>
      <c r="P7" s="4">
        <v>30484288996.669998</v>
      </c>
      <c r="Q7" s="5">
        <v>46150</v>
      </c>
      <c r="R7" s="5">
        <v>42662</v>
      </c>
      <c r="S7" s="5">
        <v>42658</v>
      </c>
      <c r="T7" s="5">
        <v>42746</v>
      </c>
      <c r="U7" s="4">
        <v>100</v>
      </c>
      <c r="V7" s="4">
        <v>98.66</v>
      </c>
      <c r="W7" s="3"/>
      <c r="X7" s="3"/>
      <c r="Y7" s="5">
        <v>42657</v>
      </c>
      <c r="Z7" s="5">
        <v>42909</v>
      </c>
      <c r="AA7" s="5">
        <v>42986</v>
      </c>
      <c r="AB7" s="5">
        <v>42986</v>
      </c>
      <c r="AC7" s="5">
        <v>43207</v>
      </c>
      <c r="AD7" s="5">
        <v>45527</v>
      </c>
      <c r="AE7" s="5">
        <v>45527</v>
      </c>
      <c r="AF7" s="5"/>
      <c r="AG7" s="5">
        <v>46157</v>
      </c>
      <c r="AH7" s="3" t="s">
        <v>187</v>
      </c>
      <c r="AI7" s="3" t="s">
        <v>188</v>
      </c>
      <c r="AJ7" s="5">
        <v>46152</v>
      </c>
      <c r="AK7" s="3"/>
      <c r="AL7" s="3"/>
      <c r="AM7" s="3"/>
      <c r="AN7" s="3" t="str">
        <f t="shared" si="0"/>
        <v/>
      </c>
      <c r="AO7" s="3" t="str">
        <f t="shared" si="1"/>
        <v/>
      </c>
      <c r="AP7" s="3">
        <f t="shared" si="2"/>
        <v>100</v>
      </c>
      <c r="AQ7" s="3" t="str">
        <f t="shared" si="3"/>
        <v/>
      </c>
      <c r="AR7" s="3">
        <v>1</v>
      </c>
      <c r="AS7" s="3"/>
      <c r="AT7" s="3">
        <f t="shared" si="4"/>
        <v>100</v>
      </c>
      <c r="AU7" s="4">
        <v>50</v>
      </c>
      <c r="AV7" s="3">
        <f t="shared" si="5"/>
        <v>90</v>
      </c>
      <c r="AW7" s="3" t="str">
        <f t="shared" si="6"/>
        <v/>
      </c>
      <c r="AX7" s="3" t="s">
        <v>189</v>
      </c>
      <c r="AY7" s="7" t="s">
        <v>190</v>
      </c>
      <c r="AZ7" s="7" t="s">
        <v>191</v>
      </c>
    </row>
    <row r="8" spans="1:52" ht="70.2" customHeight="1" x14ac:dyDescent="0.3">
      <c r="A8" s="32" t="s">
        <v>192</v>
      </c>
      <c r="B8" s="3" t="s">
        <v>171</v>
      </c>
      <c r="C8" s="3" t="s">
        <v>193</v>
      </c>
      <c r="D8" s="3" t="s">
        <v>194</v>
      </c>
      <c r="E8" s="3" t="s">
        <v>156</v>
      </c>
      <c r="F8" s="3" t="s">
        <v>195</v>
      </c>
      <c r="G8" s="3" t="s">
        <v>144</v>
      </c>
      <c r="H8" s="3" t="s">
        <v>196</v>
      </c>
      <c r="I8" s="3" t="s">
        <v>158</v>
      </c>
      <c r="J8" s="3" t="s">
        <v>197</v>
      </c>
      <c r="K8" s="4">
        <v>11741345301</v>
      </c>
      <c r="L8" s="4">
        <v>0</v>
      </c>
      <c r="M8" s="4">
        <v>265600000</v>
      </c>
      <c r="N8" s="4">
        <v>0</v>
      </c>
      <c r="O8" s="4">
        <v>12006945301</v>
      </c>
      <c r="P8" s="4">
        <v>11473460596.700001</v>
      </c>
      <c r="Q8" s="5">
        <v>44868</v>
      </c>
      <c r="R8" s="5">
        <v>43019</v>
      </c>
      <c r="S8" s="5">
        <v>42914</v>
      </c>
      <c r="T8" s="5">
        <v>42823</v>
      </c>
      <c r="U8" s="4">
        <v>100</v>
      </c>
      <c r="V8" s="4">
        <v>97.77</v>
      </c>
      <c r="W8" s="3"/>
      <c r="X8" s="3"/>
      <c r="Y8" s="5">
        <v>42801</v>
      </c>
      <c r="Z8" s="5">
        <v>43048</v>
      </c>
      <c r="AA8" s="5">
        <v>43095</v>
      </c>
      <c r="AB8" s="5">
        <v>43095</v>
      </c>
      <c r="AC8" s="5">
        <v>43280</v>
      </c>
      <c r="AD8" s="5">
        <v>44926</v>
      </c>
      <c r="AE8" s="5">
        <v>44926</v>
      </c>
      <c r="AF8" s="5"/>
      <c r="AG8" s="5">
        <v>46157</v>
      </c>
      <c r="AH8" s="3" t="s">
        <v>148</v>
      </c>
      <c r="AI8" s="3" t="s">
        <v>149</v>
      </c>
      <c r="AJ8" s="5">
        <v>46157</v>
      </c>
      <c r="AK8" s="3"/>
      <c r="AL8" s="3"/>
      <c r="AM8" s="3"/>
      <c r="AN8" s="3" t="str">
        <f t="shared" si="0"/>
        <v/>
      </c>
      <c r="AO8" s="3" t="str">
        <f t="shared" si="1"/>
        <v/>
      </c>
      <c r="AP8" s="3">
        <f t="shared" si="2"/>
        <v>100</v>
      </c>
      <c r="AQ8" s="3" t="str">
        <f t="shared" si="3"/>
        <v/>
      </c>
      <c r="AR8" s="3">
        <v>0</v>
      </c>
      <c r="AS8" s="3"/>
      <c r="AT8" s="3">
        <f t="shared" si="4"/>
        <v>0</v>
      </c>
      <c r="AU8" s="4">
        <v>0</v>
      </c>
      <c r="AV8" s="3">
        <f t="shared" si="5"/>
        <v>100</v>
      </c>
      <c r="AW8" s="3" t="str">
        <f t="shared" si="6"/>
        <v/>
      </c>
      <c r="AX8" s="3" t="s">
        <v>198</v>
      </c>
      <c r="AY8" s="7" t="s">
        <v>151</v>
      </c>
      <c r="AZ8" s="7" t="s">
        <v>39</v>
      </c>
    </row>
    <row r="9" spans="1:52" ht="70.2" customHeight="1" x14ac:dyDescent="0.3">
      <c r="A9" s="32" t="s">
        <v>199</v>
      </c>
      <c r="B9" s="3" t="s">
        <v>180</v>
      </c>
      <c r="C9" s="3" t="s">
        <v>200</v>
      </c>
      <c r="D9" s="3" t="s">
        <v>201</v>
      </c>
      <c r="E9" s="3" t="s">
        <v>183</v>
      </c>
      <c r="F9" s="3" t="s">
        <v>202</v>
      </c>
      <c r="G9" s="3" t="s">
        <v>175</v>
      </c>
      <c r="H9" s="3" t="s">
        <v>176</v>
      </c>
      <c r="I9" s="3" t="s">
        <v>185</v>
      </c>
      <c r="J9" s="3" t="s">
        <v>147</v>
      </c>
      <c r="K9" s="4">
        <v>189749519481.00461</v>
      </c>
      <c r="L9" s="4">
        <v>0</v>
      </c>
      <c r="M9" s="4">
        <v>0</v>
      </c>
      <c r="N9" s="4">
        <v>0</v>
      </c>
      <c r="O9" s="4">
        <v>189749519481.00461</v>
      </c>
      <c r="P9" s="4">
        <v>188735128008.62</v>
      </c>
      <c r="Q9" s="5">
        <v>45656</v>
      </c>
      <c r="R9" s="5">
        <v>42942</v>
      </c>
      <c r="S9" s="5">
        <v>42923</v>
      </c>
      <c r="T9" s="5">
        <v>42970</v>
      </c>
      <c r="U9" s="4">
        <v>91.6</v>
      </c>
      <c r="V9" s="4">
        <v>99.47</v>
      </c>
      <c r="W9" s="3">
        <v>0</v>
      </c>
      <c r="X9" s="3">
        <v>0</v>
      </c>
      <c r="Y9" s="5">
        <v>42922</v>
      </c>
      <c r="Z9" s="5">
        <v>43249</v>
      </c>
      <c r="AA9" s="5">
        <v>43532</v>
      </c>
      <c r="AB9" s="5">
        <v>43532</v>
      </c>
      <c r="AC9" s="5">
        <v>43591</v>
      </c>
      <c r="AD9" s="5">
        <v>45467</v>
      </c>
      <c r="AE9" s="5">
        <v>45467</v>
      </c>
      <c r="AF9" s="5"/>
      <c r="AG9" s="5">
        <v>46157</v>
      </c>
      <c r="AH9" s="3" t="s">
        <v>203</v>
      </c>
      <c r="AI9" s="3" t="s">
        <v>204</v>
      </c>
      <c r="AJ9" s="5">
        <v>46152</v>
      </c>
      <c r="AK9" s="3"/>
      <c r="AL9" s="3"/>
      <c r="AM9" s="3"/>
      <c r="AN9" s="3">
        <f t="shared" si="0"/>
        <v>0</v>
      </c>
      <c r="AO9" s="3">
        <f t="shared" si="1"/>
        <v>0</v>
      </c>
      <c r="AP9" s="3">
        <f t="shared" si="2"/>
        <v>100</v>
      </c>
      <c r="AQ9" s="3">
        <f t="shared" si="3"/>
        <v>100</v>
      </c>
      <c r="AR9" s="3">
        <v>0</v>
      </c>
      <c r="AS9" s="3"/>
      <c r="AT9" s="3">
        <f t="shared" si="4"/>
        <v>100</v>
      </c>
      <c r="AU9" s="4">
        <v>0</v>
      </c>
      <c r="AV9" s="3">
        <f t="shared" si="5"/>
        <v>100</v>
      </c>
      <c r="AW9" s="3">
        <f t="shared" si="6"/>
        <v>0</v>
      </c>
      <c r="AX9" s="3" t="s">
        <v>205</v>
      </c>
      <c r="AY9" s="7" t="s">
        <v>161</v>
      </c>
      <c r="AZ9" s="7" t="s">
        <v>206</v>
      </c>
    </row>
    <row r="10" spans="1:52" ht="70.2" customHeight="1" x14ac:dyDescent="0.3">
      <c r="A10" s="32" t="s">
        <v>207</v>
      </c>
      <c r="B10" s="3" t="s">
        <v>163</v>
      </c>
      <c r="C10" s="3" t="s">
        <v>208</v>
      </c>
      <c r="D10" s="3" t="s">
        <v>209</v>
      </c>
      <c r="E10" s="3" t="s">
        <v>156</v>
      </c>
      <c r="F10" s="3" t="s">
        <v>210</v>
      </c>
      <c r="G10" s="3" t="s">
        <v>144</v>
      </c>
      <c r="H10" s="3" t="s">
        <v>145</v>
      </c>
      <c r="I10" s="3" t="s">
        <v>211</v>
      </c>
      <c r="J10" s="3" t="s">
        <v>159</v>
      </c>
      <c r="K10" s="4">
        <v>15331463849</v>
      </c>
      <c r="L10" s="4">
        <v>0</v>
      </c>
      <c r="M10" s="4">
        <v>201232188</v>
      </c>
      <c r="N10" s="4">
        <v>0</v>
      </c>
      <c r="O10" s="4">
        <v>15532696037</v>
      </c>
      <c r="P10" s="4">
        <v>15173637605</v>
      </c>
      <c r="Q10" s="5">
        <v>44918</v>
      </c>
      <c r="R10" s="5">
        <v>43815</v>
      </c>
      <c r="S10" s="5">
        <v>43790</v>
      </c>
      <c r="T10" s="5">
        <v>43789</v>
      </c>
      <c r="U10" s="4">
        <v>100</v>
      </c>
      <c r="V10" s="4">
        <v>98.98</v>
      </c>
      <c r="W10" s="3"/>
      <c r="X10" s="3"/>
      <c r="Y10" s="5">
        <v>43781</v>
      </c>
      <c r="Z10" s="5">
        <v>43819</v>
      </c>
      <c r="AA10" s="5">
        <v>43826</v>
      </c>
      <c r="AB10" s="5">
        <v>43826</v>
      </c>
      <c r="AC10" s="5">
        <v>43908</v>
      </c>
      <c r="AD10" s="5">
        <v>44742</v>
      </c>
      <c r="AE10" s="5">
        <v>44742</v>
      </c>
      <c r="AF10" s="5"/>
      <c r="AG10" s="5">
        <v>46157</v>
      </c>
      <c r="AH10" s="3" t="s">
        <v>212</v>
      </c>
      <c r="AI10" s="3" t="s">
        <v>213</v>
      </c>
      <c r="AJ10" s="5">
        <v>46157</v>
      </c>
      <c r="AK10" s="3"/>
      <c r="AL10" s="3"/>
      <c r="AM10" s="3"/>
      <c r="AN10" s="3" t="str">
        <f t="shared" si="0"/>
        <v/>
      </c>
      <c r="AO10" s="3" t="str">
        <f t="shared" si="1"/>
        <v/>
      </c>
      <c r="AP10" s="3">
        <f t="shared" si="2"/>
        <v>100</v>
      </c>
      <c r="AQ10" s="3" t="str">
        <f t="shared" si="3"/>
        <v/>
      </c>
      <c r="AR10" s="3">
        <v>0</v>
      </c>
      <c r="AS10" s="3"/>
      <c r="AT10" s="3">
        <f t="shared" si="4"/>
        <v>0</v>
      </c>
      <c r="AU10" s="4">
        <v>0</v>
      </c>
      <c r="AV10" s="3">
        <f t="shared" si="5"/>
        <v>100</v>
      </c>
      <c r="AW10" s="3" t="str">
        <f t="shared" si="6"/>
        <v/>
      </c>
      <c r="AX10" s="3" t="s">
        <v>169</v>
      </c>
      <c r="AY10" s="7" t="s">
        <v>214</v>
      </c>
      <c r="AZ10" s="7" t="s">
        <v>215</v>
      </c>
    </row>
    <row r="11" spans="1:52" ht="70.2" customHeight="1" x14ac:dyDescent="0.3">
      <c r="A11" s="32" t="s">
        <v>216</v>
      </c>
      <c r="B11" s="3" t="s">
        <v>163</v>
      </c>
      <c r="C11" s="3" t="s">
        <v>217</v>
      </c>
      <c r="D11" s="3" t="s">
        <v>218</v>
      </c>
      <c r="E11" s="3" t="s">
        <v>156</v>
      </c>
      <c r="F11" s="3" t="s">
        <v>219</v>
      </c>
      <c r="G11" s="3" t="s">
        <v>144</v>
      </c>
      <c r="H11" s="3" t="s">
        <v>145</v>
      </c>
      <c r="I11" s="3" t="s">
        <v>158</v>
      </c>
      <c r="J11" s="3" t="s">
        <v>159</v>
      </c>
      <c r="K11" s="4">
        <v>14300800098.139999</v>
      </c>
      <c r="L11" s="4">
        <v>0</v>
      </c>
      <c r="M11" s="4">
        <v>493878438</v>
      </c>
      <c r="N11" s="4">
        <v>0</v>
      </c>
      <c r="O11" s="4">
        <v>14794678536.139999</v>
      </c>
      <c r="P11" s="4">
        <v>13948285627.540001</v>
      </c>
      <c r="Q11" s="5">
        <v>44839</v>
      </c>
      <c r="R11" s="5">
        <v>43348</v>
      </c>
      <c r="S11" s="5">
        <v>43323</v>
      </c>
      <c r="T11" s="5">
        <v>43385</v>
      </c>
      <c r="U11" s="4">
        <v>97.37</v>
      </c>
      <c r="V11" s="4">
        <v>97.61</v>
      </c>
      <c r="W11" s="3"/>
      <c r="X11" s="3"/>
      <c r="Y11" s="5">
        <v>43322</v>
      </c>
      <c r="Z11" s="5">
        <v>43444</v>
      </c>
      <c r="AA11" s="5">
        <v>43508</v>
      </c>
      <c r="AB11" s="5">
        <v>43508</v>
      </c>
      <c r="AC11" s="5">
        <v>43543</v>
      </c>
      <c r="AD11" s="5">
        <v>44592</v>
      </c>
      <c r="AE11" s="5">
        <v>44592</v>
      </c>
      <c r="AF11" s="5"/>
      <c r="AG11" s="5">
        <v>46157</v>
      </c>
      <c r="AH11" s="3" t="s">
        <v>220</v>
      </c>
      <c r="AI11" s="3" t="s">
        <v>213</v>
      </c>
      <c r="AJ11" s="5">
        <v>46157</v>
      </c>
      <c r="AK11" s="3"/>
      <c r="AL11" s="3"/>
      <c r="AM11" s="3"/>
      <c r="AN11" s="3" t="str">
        <f t="shared" si="0"/>
        <v/>
      </c>
      <c r="AO11" s="3" t="str">
        <f t="shared" si="1"/>
        <v/>
      </c>
      <c r="AP11" s="3">
        <f t="shared" si="2"/>
        <v>100</v>
      </c>
      <c r="AQ11" s="3">
        <f t="shared" si="3"/>
        <v>100</v>
      </c>
      <c r="AR11" s="3">
        <v>0</v>
      </c>
      <c r="AS11" s="3"/>
      <c r="AT11" s="3">
        <f t="shared" si="4"/>
        <v>0</v>
      </c>
      <c r="AU11" s="4">
        <v>0</v>
      </c>
      <c r="AV11" s="3">
        <f t="shared" si="5"/>
        <v>100</v>
      </c>
      <c r="AW11" s="3" t="str">
        <f t="shared" si="6"/>
        <v/>
      </c>
      <c r="AX11" s="3" t="s">
        <v>169</v>
      </c>
      <c r="AY11" s="7" t="s">
        <v>161</v>
      </c>
      <c r="AZ11" s="7" t="s">
        <v>31</v>
      </c>
    </row>
    <row r="12" spans="1:52" ht="70.2" customHeight="1" x14ac:dyDescent="0.3">
      <c r="A12" s="32" t="s">
        <v>221</v>
      </c>
      <c r="B12" s="3" t="s">
        <v>180</v>
      </c>
      <c r="C12" s="3" t="s">
        <v>222</v>
      </c>
      <c r="D12" s="3" t="s">
        <v>223</v>
      </c>
      <c r="E12" s="3" t="s">
        <v>183</v>
      </c>
      <c r="F12" s="3" t="s">
        <v>224</v>
      </c>
      <c r="G12" s="3" t="s">
        <v>144</v>
      </c>
      <c r="H12" s="3" t="s">
        <v>145</v>
      </c>
      <c r="I12" s="3" t="s">
        <v>185</v>
      </c>
      <c r="J12" s="3" t="s">
        <v>225</v>
      </c>
      <c r="K12" s="4">
        <v>66912604863.639999</v>
      </c>
      <c r="L12" s="4">
        <v>0</v>
      </c>
      <c r="M12" s="4">
        <v>0</v>
      </c>
      <c r="N12" s="4">
        <v>0</v>
      </c>
      <c r="O12" s="4">
        <v>66912604863.639999</v>
      </c>
      <c r="P12" s="4">
        <v>65182688683.440002</v>
      </c>
      <c r="Q12" s="5">
        <v>45653</v>
      </c>
      <c r="R12" s="5">
        <v>43433</v>
      </c>
      <c r="S12" s="5">
        <v>43224</v>
      </c>
      <c r="T12" s="5">
        <v>43613</v>
      </c>
      <c r="U12" s="4">
        <v>99.61</v>
      </c>
      <c r="V12" s="4">
        <v>97.41</v>
      </c>
      <c r="W12" s="3"/>
      <c r="X12" s="3"/>
      <c r="Y12" s="5">
        <v>43193</v>
      </c>
      <c r="Z12" s="5">
        <v>43628</v>
      </c>
      <c r="AA12" s="5">
        <v>43753</v>
      </c>
      <c r="AB12" s="5">
        <v>43740</v>
      </c>
      <c r="AC12" s="5">
        <v>43781</v>
      </c>
      <c r="AD12" s="5">
        <v>45351</v>
      </c>
      <c r="AE12" s="5">
        <v>45351</v>
      </c>
      <c r="AF12" s="5"/>
      <c r="AG12" s="5">
        <v>46157</v>
      </c>
      <c r="AH12" s="3" t="s">
        <v>226</v>
      </c>
      <c r="AI12" s="3" t="s">
        <v>227</v>
      </c>
      <c r="AJ12" s="5">
        <v>46152</v>
      </c>
      <c r="AK12" s="3"/>
      <c r="AL12" s="3"/>
      <c r="AM12" s="3"/>
      <c r="AN12" s="3" t="str">
        <f t="shared" si="0"/>
        <v/>
      </c>
      <c r="AO12" s="3" t="str">
        <f t="shared" si="1"/>
        <v/>
      </c>
      <c r="AP12" s="3">
        <f t="shared" si="2"/>
        <v>100</v>
      </c>
      <c r="AQ12" s="3" t="str">
        <f t="shared" si="3"/>
        <v/>
      </c>
      <c r="AR12" s="3">
        <v>0</v>
      </c>
      <c r="AS12" s="3"/>
      <c r="AT12" s="3">
        <f t="shared" si="4"/>
        <v>100</v>
      </c>
      <c r="AU12" s="4">
        <v>0</v>
      </c>
      <c r="AV12" s="3">
        <f t="shared" si="5"/>
        <v>100</v>
      </c>
      <c r="AW12" s="3" t="str">
        <f t="shared" si="6"/>
        <v/>
      </c>
      <c r="AX12" s="3" t="s">
        <v>228</v>
      </c>
      <c r="AY12" s="7" t="s">
        <v>214</v>
      </c>
      <c r="AZ12" s="7" t="s">
        <v>27</v>
      </c>
    </row>
    <row r="13" spans="1:52" ht="70.2" customHeight="1" x14ac:dyDescent="0.3">
      <c r="A13" s="32" t="s">
        <v>229</v>
      </c>
      <c r="B13" s="3" t="s">
        <v>163</v>
      </c>
      <c r="C13" s="3" t="s">
        <v>230</v>
      </c>
      <c r="D13" s="3" t="s">
        <v>231</v>
      </c>
      <c r="E13" s="3" t="s">
        <v>232</v>
      </c>
      <c r="F13" s="3" t="s">
        <v>233</v>
      </c>
      <c r="G13" s="3" t="s">
        <v>175</v>
      </c>
      <c r="H13" s="3" t="s">
        <v>176</v>
      </c>
      <c r="I13" s="3" t="s">
        <v>234</v>
      </c>
      <c r="J13" s="3" t="s">
        <v>235</v>
      </c>
      <c r="K13" s="4">
        <v>14525812035</v>
      </c>
      <c r="L13" s="4">
        <v>0</v>
      </c>
      <c r="M13" s="4">
        <v>0</v>
      </c>
      <c r="N13" s="4">
        <v>0</v>
      </c>
      <c r="O13" s="4">
        <v>14525812035</v>
      </c>
      <c r="P13" s="4">
        <v>13157700631.99</v>
      </c>
      <c r="Q13" s="5">
        <v>45603</v>
      </c>
      <c r="R13" s="5">
        <v>45076</v>
      </c>
      <c r="S13" s="5">
        <v>45066</v>
      </c>
      <c r="T13" s="5">
        <v>45084</v>
      </c>
      <c r="U13" s="4">
        <v>0</v>
      </c>
      <c r="V13" s="4">
        <v>90.58</v>
      </c>
      <c r="W13" s="3">
        <v>0</v>
      </c>
      <c r="X13" s="3">
        <v>0</v>
      </c>
      <c r="Y13" s="5">
        <v>45064</v>
      </c>
      <c r="Z13" s="5">
        <v>45260</v>
      </c>
      <c r="AA13" s="5">
        <v>45289</v>
      </c>
      <c r="AB13" s="5">
        <v>45219</v>
      </c>
      <c r="AC13" s="5">
        <v>45301</v>
      </c>
      <c r="AD13" s="5">
        <v>45987</v>
      </c>
      <c r="AE13" s="5"/>
      <c r="AF13" s="5"/>
      <c r="AG13" s="5">
        <v>46157</v>
      </c>
      <c r="AH13" s="3" t="s">
        <v>236</v>
      </c>
      <c r="AI13" s="3" t="s">
        <v>237</v>
      </c>
      <c r="AJ13" s="5">
        <v>46152</v>
      </c>
      <c r="AK13" s="3"/>
      <c r="AL13" s="3"/>
      <c r="AM13" s="3"/>
      <c r="AN13" s="3">
        <f t="shared" si="0"/>
        <v>0</v>
      </c>
      <c r="AO13" s="3">
        <f t="shared" si="1"/>
        <v>0</v>
      </c>
      <c r="AP13" s="3">
        <f t="shared" si="2"/>
        <v>0</v>
      </c>
      <c r="AQ13" s="3">
        <f t="shared" si="3"/>
        <v>0</v>
      </c>
      <c r="AR13" s="3">
        <v>1</v>
      </c>
      <c r="AS13" s="3"/>
      <c r="AT13" s="3">
        <f t="shared" si="4"/>
        <v>100</v>
      </c>
      <c r="AU13" s="4">
        <v>100</v>
      </c>
      <c r="AV13" s="3">
        <f t="shared" si="5"/>
        <v>90</v>
      </c>
      <c r="AW13" s="3">
        <f t="shared" si="6"/>
        <v>0</v>
      </c>
      <c r="AX13" s="3" t="s">
        <v>238</v>
      </c>
      <c r="AY13" s="7" t="s">
        <v>239</v>
      </c>
      <c r="AZ13" s="7" t="s">
        <v>39</v>
      </c>
    </row>
    <row r="14" spans="1:52" ht="70.2" customHeight="1" x14ac:dyDescent="0.3">
      <c r="A14" s="32" t="s">
        <v>240</v>
      </c>
      <c r="B14" s="3" t="s">
        <v>180</v>
      </c>
      <c r="C14" s="3" t="s">
        <v>241</v>
      </c>
      <c r="D14" s="3" t="s">
        <v>242</v>
      </c>
      <c r="E14" s="3" t="s">
        <v>183</v>
      </c>
      <c r="F14" s="3" t="s">
        <v>243</v>
      </c>
      <c r="G14" s="3" t="s">
        <v>144</v>
      </c>
      <c r="H14" s="3" t="s">
        <v>145</v>
      </c>
      <c r="I14" s="3" t="s">
        <v>146</v>
      </c>
      <c r="J14" s="3" t="s">
        <v>186</v>
      </c>
      <c r="K14" s="4">
        <v>4457416400</v>
      </c>
      <c r="L14" s="4">
        <v>0</v>
      </c>
      <c r="M14" s="4">
        <v>0</v>
      </c>
      <c r="N14" s="4">
        <v>0</v>
      </c>
      <c r="O14" s="4">
        <v>4457416400</v>
      </c>
      <c r="P14" s="4">
        <v>4434194362.5</v>
      </c>
      <c r="Q14" s="5">
        <v>45656</v>
      </c>
      <c r="R14" s="5">
        <v>44199</v>
      </c>
      <c r="S14" s="5">
        <v>44196</v>
      </c>
      <c r="T14" s="5">
        <v>44239</v>
      </c>
      <c r="U14" s="4">
        <v>100</v>
      </c>
      <c r="V14" s="4">
        <v>99.48</v>
      </c>
      <c r="W14" s="3"/>
      <c r="X14" s="3"/>
      <c r="Y14" s="5">
        <v>44195</v>
      </c>
      <c r="Z14" s="5">
        <v>44376</v>
      </c>
      <c r="AA14" s="5">
        <v>44410</v>
      </c>
      <c r="AB14" s="5">
        <v>44410</v>
      </c>
      <c r="AC14" s="5">
        <v>44504</v>
      </c>
      <c r="AD14" s="5">
        <v>45577</v>
      </c>
      <c r="AE14" s="5">
        <v>45577</v>
      </c>
      <c r="AF14" s="5"/>
      <c r="AG14" s="5">
        <v>46157</v>
      </c>
      <c r="AH14" s="3" t="s">
        <v>244</v>
      </c>
      <c r="AI14" s="3" t="s">
        <v>245</v>
      </c>
      <c r="AJ14" s="5">
        <v>46152</v>
      </c>
      <c r="AK14" s="3"/>
      <c r="AL14" s="3"/>
      <c r="AM14" s="3"/>
      <c r="AN14" s="3" t="str">
        <f t="shared" si="0"/>
        <v/>
      </c>
      <c r="AO14" s="3" t="str">
        <f t="shared" si="1"/>
        <v/>
      </c>
      <c r="AP14" s="3">
        <f t="shared" si="2"/>
        <v>100</v>
      </c>
      <c r="AQ14" s="3" t="str">
        <f t="shared" si="3"/>
        <v/>
      </c>
      <c r="AR14" s="3">
        <v>1</v>
      </c>
      <c r="AS14" s="3"/>
      <c r="AT14" s="3">
        <f t="shared" si="4"/>
        <v>100</v>
      </c>
      <c r="AU14" s="4">
        <v>0</v>
      </c>
      <c r="AV14" s="3">
        <f t="shared" si="5"/>
        <v>90</v>
      </c>
      <c r="AW14" s="3" t="str">
        <f t="shared" si="6"/>
        <v/>
      </c>
      <c r="AX14" s="3" t="s">
        <v>246</v>
      </c>
      <c r="AY14" s="7" t="s">
        <v>190</v>
      </c>
      <c r="AZ14" s="7" t="s">
        <v>247</v>
      </c>
    </row>
    <row r="15" spans="1:52" ht="70.2" customHeight="1" x14ac:dyDescent="0.3">
      <c r="A15" s="32" t="s">
        <v>248</v>
      </c>
      <c r="B15" s="3" t="s">
        <v>163</v>
      </c>
      <c r="C15" s="3" t="s">
        <v>249</v>
      </c>
      <c r="D15" s="3" t="s">
        <v>250</v>
      </c>
      <c r="E15" s="3" t="s">
        <v>156</v>
      </c>
      <c r="F15" s="3" t="s">
        <v>251</v>
      </c>
      <c r="G15" s="3" t="s">
        <v>175</v>
      </c>
      <c r="H15" s="3" t="s">
        <v>176</v>
      </c>
      <c r="I15" s="3" t="s">
        <v>158</v>
      </c>
      <c r="J15" s="3" t="s">
        <v>197</v>
      </c>
      <c r="K15" s="4">
        <v>9991937324.4500008</v>
      </c>
      <c r="L15" s="4">
        <v>0</v>
      </c>
      <c r="M15" s="4">
        <v>239336814</v>
      </c>
      <c r="N15" s="4">
        <v>0</v>
      </c>
      <c r="O15" s="4">
        <v>10231274138.450001</v>
      </c>
      <c r="P15" s="4">
        <v>9677239657.1900005</v>
      </c>
      <c r="Q15" s="5">
        <v>45595</v>
      </c>
      <c r="R15" s="5">
        <v>44321</v>
      </c>
      <c r="S15" s="5">
        <v>44187</v>
      </c>
      <c r="T15" s="5">
        <v>44337</v>
      </c>
      <c r="U15" s="4">
        <v>56.9</v>
      </c>
      <c r="V15" s="4">
        <v>94.98</v>
      </c>
      <c r="W15" s="3">
        <v>0</v>
      </c>
      <c r="X15" s="3">
        <v>0</v>
      </c>
      <c r="Y15" s="5">
        <v>44183</v>
      </c>
      <c r="Z15" s="5">
        <v>44363</v>
      </c>
      <c r="AA15" s="5">
        <v>44463</v>
      </c>
      <c r="AB15" s="5">
        <v>44463</v>
      </c>
      <c r="AC15" s="5">
        <v>44545</v>
      </c>
      <c r="AD15" s="5">
        <v>46022</v>
      </c>
      <c r="AE15" s="5"/>
      <c r="AF15" s="5"/>
      <c r="AG15" s="5">
        <v>46157</v>
      </c>
      <c r="AH15" s="3" t="s">
        <v>252</v>
      </c>
      <c r="AI15" s="3" t="s">
        <v>213</v>
      </c>
      <c r="AJ15" s="5">
        <v>46157</v>
      </c>
      <c r="AK15" s="3"/>
      <c r="AL15" s="3"/>
      <c r="AM15" s="3"/>
      <c r="AN15" s="3">
        <f t="shared" si="0"/>
        <v>0</v>
      </c>
      <c r="AO15" s="3">
        <f t="shared" si="1"/>
        <v>0</v>
      </c>
      <c r="AP15" s="3">
        <f t="shared" si="2"/>
        <v>0</v>
      </c>
      <c r="AQ15" s="3">
        <f t="shared" si="3"/>
        <v>0</v>
      </c>
      <c r="AR15" s="3">
        <v>1</v>
      </c>
      <c r="AS15" s="3"/>
      <c r="AT15" s="3">
        <f t="shared" si="4"/>
        <v>0</v>
      </c>
      <c r="AU15" s="4">
        <v>0</v>
      </c>
      <c r="AV15" s="3">
        <f t="shared" si="5"/>
        <v>90</v>
      </c>
      <c r="AW15" s="3">
        <f t="shared" si="6"/>
        <v>0</v>
      </c>
      <c r="AX15" s="3" t="s">
        <v>253</v>
      </c>
      <c r="AY15" s="7" t="s">
        <v>161</v>
      </c>
      <c r="AZ15" s="7" t="s">
        <v>39</v>
      </c>
    </row>
    <row r="16" spans="1:52" ht="70.2" customHeight="1" x14ac:dyDescent="0.3">
      <c r="A16" s="32" t="s">
        <v>254</v>
      </c>
      <c r="B16" s="3" t="s">
        <v>163</v>
      </c>
      <c r="C16" s="3" t="s">
        <v>255</v>
      </c>
      <c r="D16" s="3" t="s">
        <v>256</v>
      </c>
      <c r="E16" s="3" t="s">
        <v>232</v>
      </c>
      <c r="F16" s="3" t="s">
        <v>257</v>
      </c>
      <c r="G16" s="3" t="s">
        <v>144</v>
      </c>
      <c r="H16" s="3" t="s">
        <v>145</v>
      </c>
      <c r="I16" s="3" t="s">
        <v>258</v>
      </c>
      <c r="J16" s="3" t="s">
        <v>186</v>
      </c>
      <c r="K16" s="4">
        <v>1582195518</v>
      </c>
      <c r="L16" s="4">
        <v>0</v>
      </c>
      <c r="M16" s="4">
        <v>0</v>
      </c>
      <c r="N16" s="4">
        <v>0</v>
      </c>
      <c r="O16" s="4">
        <v>1582195518</v>
      </c>
      <c r="P16" s="4">
        <v>1581551844.8</v>
      </c>
      <c r="Q16" s="5">
        <v>45358</v>
      </c>
      <c r="R16" s="5">
        <v>44737</v>
      </c>
      <c r="S16" s="5">
        <v>44729</v>
      </c>
      <c r="T16" s="5">
        <v>44774</v>
      </c>
      <c r="U16" s="4">
        <v>96.75</v>
      </c>
      <c r="V16" s="4">
        <v>99.96</v>
      </c>
      <c r="W16" s="3"/>
      <c r="X16" s="3"/>
      <c r="Y16" s="5">
        <v>44728</v>
      </c>
      <c r="Z16" s="5">
        <v>44854</v>
      </c>
      <c r="AA16" s="5">
        <v>44902</v>
      </c>
      <c r="AB16" s="5">
        <v>44902</v>
      </c>
      <c r="AC16" s="5">
        <v>44980</v>
      </c>
      <c r="AD16" s="5">
        <v>45287</v>
      </c>
      <c r="AE16" s="5">
        <v>45287</v>
      </c>
      <c r="AF16" s="5"/>
      <c r="AG16" s="5">
        <v>46157</v>
      </c>
      <c r="AH16" s="3" t="s">
        <v>259</v>
      </c>
      <c r="AI16" s="3" t="s">
        <v>213</v>
      </c>
      <c r="AJ16" s="5">
        <v>46157</v>
      </c>
      <c r="AK16" s="3"/>
      <c r="AL16" s="3"/>
      <c r="AM16" s="3"/>
      <c r="AN16" s="3" t="str">
        <f t="shared" si="0"/>
        <v/>
      </c>
      <c r="AO16" s="3" t="str">
        <f t="shared" si="1"/>
        <v/>
      </c>
      <c r="AP16" s="3">
        <f t="shared" si="2"/>
        <v>100</v>
      </c>
      <c r="AQ16" s="3">
        <f t="shared" si="3"/>
        <v>100</v>
      </c>
      <c r="AR16" s="3">
        <v>0</v>
      </c>
      <c r="AS16" s="3"/>
      <c r="AT16" s="3">
        <f t="shared" si="4"/>
        <v>0</v>
      </c>
      <c r="AU16" s="4">
        <v>0</v>
      </c>
      <c r="AV16" s="3">
        <f t="shared" si="5"/>
        <v>100</v>
      </c>
      <c r="AW16" s="3" t="str">
        <f t="shared" si="6"/>
        <v/>
      </c>
      <c r="AX16" s="3" t="s">
        <v>169</v>
      </c>
      <c r="AY16" s="7" t="s">
        <v>214</v>
      </c>
      <c r="AZ16" s="7" t="s">
        <v>260</v>
      </c>
    </row>
    <row r="17" spans="1:52" ht="70.2" customHeight="1" x14ac:dyDescent="0.3">
      <c r="A17" s="32" t="s">
        <v>261</v>
      </c>
      <c r="B17" s="3" t="s">
        <v>180</v>
      </c>
      <c r="C17" s="3" t="s">
        <v>262</v>
      </c>
      <c r="D17" s="3" t="s">
        <v>263</v>
      </c>
      <c r="E17" s="3" t="s">
        <v>183</v>
      </c>
      <c r="F17" s="3" t="s">
        <v>264</v>
      </c>
      <c r="G17" s="3" t="s">
        <v>175</v>
      </c>
      <c r="H17" s="3" t="s">
        <v>145</v>
      </c>
      <c r="I17" s="3" t="s">
        <v>185</v>
      </c>
      <c r="J17" s="3" t="s">
        <v>265</v>
      </c>
      <c r="K17" s="4">
        <v>16839824924.799999</v>
      </c>
      <c r="L17" s="4">
        <v>0</v>
      </c>
      <c r="M17" s="4">
        <v>0</v>
      </c>
      <c r="N17" s="4">
        <v>0</v>
      </c>
      <c r="O17" s="4">
        <v>16839824924.799999</v>
      </c>
      <c r="P17" s="4">
        <v>15214817530.110001</v>
      </c>
      <c r="Q17" s="5">
        <v>46020</v>
      </c>
      <c r="R17" s="5">
        <v>45084</v>
      </c>
      <c r="S17" s="5">
        <v>45066</v>
      </c>
      <c r="T17" s="5">
        <v>45100</v>
      </c>
      <c r="U17" s="4">
        <v>99.8</v>
      </c>
      <c r="V17" s="4">
        <v>90.35</v>
      </c>
      <c r="W17" s="3">
        <v>1</v>
      </c>
      <c r="X17" s="3">
        <v>1</v>
      </c>
      <c r="Y17" s="5">
        <v>45064</v>
      </c>
      <c r="Z17" s="5">
        <v>45212</v>
      </c>
      <c r="AA17" s="5">
        <v>45450</v>
      </c>
      <c r="AB17" s="5">
        <v>45386</v>
      </c>
      <c r="AC17" s="5">
        <v>45469</v>
      </c>
      <c r="AD17" s="5">
        <v>46137</v>
      </c>
      <c r="AE17" s="5"/>
      <c r="AF17" s="5"/>
      <c r="AG17" s="5">
        <v>46157</v>
      </c>
      <c r="AH17" s="3" t="s">
        <v>266</v>
      </c>
      <c r="AI17" s="3" t="s">
        <v>267</v>
      </c>
      <c r="AJ17" s="5">
        <v>46152</v>
      </c>
      <c r="AK17" s="3"/>
      <c r="AL17" s="3"/>
      <c r="AM17" s="3"/>
      <c r="AN17" s="3">
        <f t="shared" si="0"/>
        <v>100</v>
      </c>
      <c r="AO17" s="3">
        <f t="shared" si="1"/>
        <v>100</v>
      </c>
      <c r="AP17" s="3">
        <f t="shared" si="2"/>
        <v>100</v>
      </c>
      <c r="AQ17" s="3">
        <f t="shared" si="3"/>
        <v>100</v>
      </c>
      <c r="AR17" s="3">
        <v>2</v>
      </c>
      <c r="AS17" s="3"/>
      <c r="AT17" s="3">
        <f t="shared" si="4"/>
        <v>100</v>
      </c>
      <c r="AU17" s="4">
        <v>100</v>
      </c>
      <c r="AV17" s="3">
        <f t="shared" si="5"/>
        <v>75</v>
      </c>
      <c r="AW17" s="3">
        <f t="shared" si="6"/>
        <v>0</v>
      </c>
      <c r="AX17" s="3" t="s">
        <v>268</v>
      </c>
      <c r="AY17" s="7" t="s">
        <v>214</v>
      </c>
      <c r="AZ17" s="7" t="s">
        <v>33</v>
      </c>
    </row>
    <row r="18" spans="1:52" ht="70.2" customHeight="1" x14ac:dyDescent="0.3">
      <c r="A18" s="32" t="s">
        <v>269</v>
      </c>
      <c r="B18" s="3" t="s">
        <v>163</v>
      </c>
      <c r="C18" s="3" t="s">
        <v>270</v>
      </c>
      <c r="D18" s="3" t="s">
        <v>271</v>
      </c>
      <c r="E18" s="3" t="s">
        <v>156</v>
      </c>
      <c r="F18" s="3" t="s">
        <v>272</v>
      </c>
      <c r="G18" s="3" t="s">
        <v>175</v>
      </c>
      <c r="H18" s="3" t="s">
        <v>176</v>
      </c>
      <c r="I18" s="3" t="s">
        <v>158</v>
      </c>
      <c r="J18" s="3" t="s">
        <v>273</v>
      </c>
      <c r="K18" s="4">
        <v>3342400000</v>
      </c>
      <c r="L18" s="4">
        <v>0</v>
      </c>
      <c r="M18" s="4">
        <v>30000000</v>
      </c>
      <c r="N18" s="4">
        <v>0</v>
      </c>
      <c r="O18" s="4">
        <v>3372400000</v>
      </c>
      <c r="P18" s="4">
        <v>3286321003.9000001</v>
      </c>
      <c r="Q18" s="5">
        <v>45777</v>
      </c>
      <c r="R18" s="5">
        <v>44569</v>
      </c>
      <c r="S18" s="5">
        <v>44556</v>
      </c>
      <c r="T18" s="5">
        <v>44629</v>
      </c>
      <c r="U18" s="4">
        <v>100</v>
      </c>
      <c r="V18" s="4">
        <v>98.34</v>
      </c>
      <c r="W18" s="3">
        <v>0</v>
      </c>
      <c r="X18" s="3">
        <v>0</v>
      </c>
      <c r="Y18" s="5">
        <v>44552</v>
      </c>
      <c r="Z18" s="5">
        <v>44825</v>
      </c>
      <c r="AA18" s="5">
        <v>44833</v>
      </c>
      <c r="AB18" s="5">
        <v>44833</v>
      </c>
      <c r="AC18" s="5">
        <v>44925</v>
      </c>
      <c r="AD18" s="5">
        <v>45549</v>
      </c>
      <c r="AE18" s="5"/>
      <c r="AF18" s="5"/>
      <c r="AG18" s="5">
        <v>46157</v>
      </c>
      <c r="AH18" s="3" t="s">
        <v>274</v>
      </c>
      <c r="AI18" s="3" t="s">
        <v>213</v>
      </c>
      <c r="AJ18" s="5">
        <v>46157</v>
      </c>
      <c r="AK18" s="3"/>
      <c r="AL18" s="3"/>
      <c r="AM18" s="3"/>
      <c r="AN18" s="3">
        <f t="shared" si="0"/>
        <v>0</v>
      </c>
      <c r="AO18" s="3">
        <f t="shared" si="1"/>
        <v>0</v>
      </c>
      <c r="AP18" s="3">
        <f t="shared" si="2"/>
        <v>100</v>
      </c>
      <c r="AQ18" s="3">
        <f t="shared" si="3"/>
        <v>100</v>
      </c>
      <c r="AR18" s="3">
        <v>1</v>
      </c>
      <c r="AS18" s="3"/>
      <c r="AT18" s="3">
        <f t="shared" si="4"/>
        <v>0</v>
      </c>
      <c r="AU18" s="4">
        <v>0</v>
      </c>
      <c r="AV18" s="3">
        <f t="shared" si="5"/>
        <v>90</v>
      </c>
      <c r="AW18" s="3">
        <f t="shared" si="6"/>
        <v>0</v>
      </c>
      <c r="AX18" s="3" t="s">
        <v>275</v>
      </c>
      <c r="AY18" s="7" t="s">
        <v>161</v>
      </c>
      <c r="AZ18" s="7" t="s">
        <v>39</v>
      </c>
    </row>
    <row r="19" spans="1:52" ht="142.5" customHeight="1" x14ac:dyDescent="0.3">
      <c r="A19" s="32" t="s">
        <v>276</v>
      </c>
      <c r="B19" s="3" t="s">
        <v>163</v>
      </c>
      <c r="C19" s="3" t="s">
        <v>277</v>
      </c>
      <c r="D19" s="3" t="s">
        <v>278</v>
      </c>
      <c r="E19" s="3" t="s">
        <v>156</v>
      </c>
      <c r="F19" s="3" t="s">
        <v>272</v>
      </c>
      <c r="G19" s="3" t="s">
        <v>175</v>
      </c>
      <c r="H19" s="3" t="s">
        <v>176</v>
      </c>
      <c r="I19" s="3" t="s">
        <v>158</v>
      </c>
      <c r="J19" s="3" t="s">
        <v>273</v>
      </c>
      <c r="K19" s="4">
        <v>990000000</v>
      </c>
      <c r="L19" s="4">
        <v>0</v>
      </c>
      <c r="M19" s="4">
        <v>30000000</v>
      </c>
      <c r="N19" s="4">
        <v>0</v>
      </c>
      <c r="O19" s="4">
        <v>1020000000</v>
      </c>
      <c r="P19" s="4">
        <v>910522475.99000001</v>
      </c>
      <c r="Q19" s="5">
        <v>45653</v>
      </c>
      <c r="R19" s="5">
        <v>44569</v>
      </c>
      <c r="S19" s="5">
        <v>44556</v>
      </c>
      <c r="T19" s="5">
        <v>44629</v>
      </c>
      <c r="U19" s="4">
        <v>100</v>
      </c>
      <c r="V19" s="4">
        <v>92.21</v>
      </c>
      <c r="W19" s="3">
        <v>0</v>
      </c>
      <c r="X19" s="3">
        <v>0</v>
      </c>
      <c r="Y19" s="5">
        <v>44552</v>
      </c>
      <c r="Z19" s="5">
        <v>44775</v>
      </c>
      <c r="AA19" s="5">
        <v>44833</v>
      </c>
      <c r="AB19" s="5">
        <v>44833</v>
      </c>
      <c r="AC19" s="5">
        <v>44925</v>
      </c>
      <c r="AD19" s="5">
        <v>45549</v>
      </c>
      <c r="AE19" s="5"/>
      <c r="AF19" s="5"/>
      <c r="AG19" s="5">
        <v>46157</v>
      </c>
      <c r="AH19" s="3" t="s">
        <v>279</v>
      </c>
      <c r="AI19" s="3" t="s">
        <v>213</v>
      </c>
      <c r="AJ19" s="5">
        <v>46157</v>
      </c>
      <c r="AK19" s="3"/>
      <c r="AL19" s="3"/>
      <c r="AM19" s="3"/>
      <c r="AN19" s="3">
        <f t="shared" si="0"/>
        <v>0</v>
      </c>
      <c r="AO19" s="3">
        <f t="shared" si="1"/>
        <v>0</v>
      </c>
      <c r="AP19" s="3">
        <f t="shared" si="2"/>
        <v>100</v>
      </c>
      <c r="AQ19" s="3">
        <f t="shared" si="3"/>
        <v>100</v>
      </c>
      <c r="AR19" s="3">
        <v>1</v>
      </c>
      <c r="AS19" s="3"/>
      <c r="AT19" s="3">
        <f t="shared" si="4"/>
        <v>0</v>
      </c>
      <c r="AU19" s="4">
        <v>0</v>
      </c>
      <c r="AV19" s="3">
        <f t="shared" si="5"/>
        <v>90</v>
      </c>
      <c r="AW19" s="3">
        <f t="shared" si="6"/>
        <v>0</v>
      </c>
      <c r="AX19" s="3" t="s">
        <v>280</v>
      </c>
      <c r="AY19" s="7" t="s">
        <v>161</v>
      </c>
      <c r="AZ19" s="7" t="s">
        <v>281</v>
      </c>
    </row>
    <row r="20" spans="1:52" ht="70.2" customHeight="1" x14ac:dyDescent="0.3">
      <c r="A20" s="32" t="s">
        <v>282</v>
      </c>
      <c r="B20" s="3" t="s">
        <v>163</v>
      </c>
      <c r="C20" s="3" t="s">
        <v>283</v>
      </c>
      <c r="D20" s="3" t="s">
        <v>284</v>
      </c>
      <c r="E20" s="3" t="s">
        <v>156</v>
      </c>
      <c r="F20" s="3" t="s">
        <v>285</v>
      </c>
      <c r="G20" s="3" t="s">
        <v>144</v>
      </c>
      <c r="H20" s="3" t="s">
        <v>145</v>
      </c>
      <c r="I20" s="3" t="s">
        <v>158</v>
      </c>
      <c r="J20" s="3" t="s">
        <v>273</v>
      </c>
      <c r="K20" s="4">
        <v>1000000000</v>
      </c>
      <c r="L20" s="4">
        <v>0</v>
      </c>
      <c r="M20" s="4">
        <v>30200000</v>
      </c>
      <c r="N20" s="4">
        <v>0</v>
      </c>
      <c r="O20" s="4">
        <v>1030200000</v>
      </c>
      <c r="P20" s="4">
        <v>1082566960</v>
      </c>
      <c r="Q20" s="5">
        <v>45797</v>
      </c>
      <c r="R20" s="5">
        <v>44569</v>
      </c>
      <c r="S20" s="5">
        <v>44556</v>
      </c>
      <c r="T20" s="5">
        <v>44657</v>
      </c>
      <c r="U20" s="4">
        <v>100</v>
      </c>
      <c r="V20" s="4">
        <v>108.01</v>
      </c>
      <c r="W20" s="3"/>
      <c r="X20" s="3"/>
      <c r="Y20" s="5">
        <v>44552</v>
      </c>
      <c r="Z20" s="5">
        <v>44819</v>
      </c>
      <c r="AA20" s="5">
        <v>44833</v>
      </c>
      <c r="AB20" s="5">
        <v>44833</v>
      </c>
      <c r="AC20" s="5">
        <v>44925</v>
      </c>
      <c r="AD20" s="5">
        <v>45549</v>
      </c>
      <c r="AE20" s="5">
        <v>45549</v>
      </c>
      <c r="AF20" s="5"/>
      <c r="AG20" s="5">
        <v>46157</v>
      </c>
      <c r="AH20" s="3" t="s">
        <v>286</v>
      </c>
      <c r="AI20" s="3" t="s">
        <v>213</v>
      </c>
      <c r="AJ20" s="5">
        <v>46157</v>
      </c>
      <c r="AK20" s="3"/>
      <c r="AL20" s="3"/>
      <c r="AM20" s="3"/>
      <c r="AN20" s="3" t="str">
        <f t="shared" si="0"/>
        <v/>
      </c>
      <c r="AO20" s="3" t="str">
        <f t="shared" si="1"/>
        <v/>
      </c>
      <c r="AP20" s="3" t="str">
        <f t="shared" si="2"/>
        <v/>
      </c>
      <c r="AQ20" s="3" t="str">
        <f t="shared" si="3"/>
        <v/>
      </c>
      <c r="AR20" s="3">
        <v>1</v>
      </c>
      <c r="AS20" s="3"/>
      <c r="AT20" s="3">
        <f t="shared" si="4"/>
        <v>0</v>
      </c>
      <c r="AU20" s="4">
        <v>0</v>
      </c>
      <c r="AV20" s="3">
        <f t="shared" si="5"/>
        <v>90</v>
      </c>
      <c r="AW20" s="3" t="str">
        <f t="shared" si="6"/>
        <v/>
      </c>
      <c r="AX20" s="3" t="s">
        <v>169</v>
      </c>
      <c r="AY20" s="7" t="s">
        <v>161</v>
      </c>
      <c r="AZ20" s="7" t="s">
        <v>39</v>
      </c>
    </row>
    <row r="21" spans="1:52" ht="115.5" customHeight="1" x14ac:dyDescent="0.3">
      <c r="A21" s="32" t="s">
        <v>287</v>
      </c>
      <c r="B21" s="3" t="s">
        <v>163</v>
      </c>
      <c r="C21" s="3" t="s">
        <v>288</v>
      </c>
      <c r="D21" s="3" t="s">
        <v>289</v>
      </c>
      <c r="E21" s="3" t="s">
        <v>156</v>
      </c>
      <c r="F21" s="3" t="s">
        <v>290</v>
      </c>
      <c r="G21" s="3" t="s">
        <v>175</v>
      </c>
      <c r="H21" s="3" t="s">
        <v>176</v>
      </c>
      <c r="I21" s="3" t="s">
        <v>158</v>
      </c>
      <c r="J21" s="3" t="s">
        <v>291</v>
      </c>
      <c r="K21" s="4">
        <v>4300000000</v>
      </c>
      <c r="L21" s="4">
        <v>0</v>
      </c>
      <c r="M21" s="4">
        <v>48000000</v>
      </c>
      <c r="N21" s="4">
        <v>0</v>
      </c>
      <c r="O21" s="4">
        <v>4348000000</v>
      </c>
      <c r="P21" s="4">
        <v>3523293028</v>
      </c>
      <c r="Q21" s="5">
        <v>45989</v>
      </c>
      <c r="R21" s="5">
        <v>44758</v>
      </c>
      <c r="S21" s="5">
        <v>44687</v>
      </c>
      <c r="T21" s="5">
        <v>44825</v>
      </c>
      <c r="U21" s="4">
        <v>68.13</v>
      </c>
      <c r="V21" s="4">
        <v>82.09</v>
      </c>
      <c r="W21" s="3">
        <v>0</v>
      </c>
      <c r="X21" s="3">
        <v>0</v>
      </c>
      <c r="Y21" s="5">
        <v>44685</v>
      </c>
      <c r="Z21" s="5">
        <v>44867</v>
      </c>
      <c r="AA21" s="5">
        <v>44917</v>
      </c>
      <c r="AB21" s="5">
        <v>44917</v>
      </c>
      <c r="AC21" s="5">
        <v>44998</v>
      </c>
      <c r="AD21" s="5">
        <v>45912</v>
      </c>
      <c r="AE21" s="5"/>
      <c r="AF21" s="5"/>
      <c r="AG21" s="5">
        <v>46157</v>
      </c>
      <c r="AH21" s="3" t="s">
        <v>292</v>
      </c>
      <c r="AI21" s="3" t="s">
        <v>293</v>
      </c>
      <c r="AJ21" s="5">
        <v>46152</v>
      </c>
      <c r="AK21" s="3"/>
      <c r="AL21" s="3"/>
      <c r="AM21" s="3"/>
      <c r="AN21" s="3">
        <f t="shared" si="0"/>
        <v>0</v>
      </c>
      <c r="AO21" s="3">
        <f t="shared" si="1"/>
        <v>0</v>
      </c>
      <c r="AP21" s="3">
        <f t="shared" si="2"/>
        <v>100</v>
      </c>
      <c r="AQ21" s="3">
        <f t="shared" si="3"/>
        <v>100</v>
      </c>
      <c r="AR21" s="3">
        <v>1</v>
      </c>
      <c r="AS21" s="3"/>
      <c r="AT21" s="3">
        <f t="shared" si="4"/>
        <v>100</v>
      </c>
      <c r="AU21" s="4">
        <v>10</v>
      </c>
      <c r="AV21" s="3">
        <f t="shared" si="5"/>
        <v>90</v>
      </c>
      <c r="AW21" s="3">
        <f t="shared" si="6"/>
        <v>0</v>
      </c>
      <c r="AX21" s="3" t="s">
        <v>294</v>
      </c>
      <c r="AY21" s="7" t="s">
        <v>295</v>
      </c>
      <c r="AZ21" s="7" t="s">
        <v>39</v>
      </c>
    </row>
    <row r="22" spans="1:52" ht="70.2" customHeight="1" x14ac:dyDescent="0.3">
      <c r="A22" s="32" t="s">
        <v>296</v>
      </c>
      <c r="B22" s="3" t="s">
        <v>180</v>
      </c>
      <c r="C22" s="3" t="s">
        <v>297</v>
      </c>
      <c r="D22" s="3" t="s">
        <v>298</v>
      </c>
      <c r="E22" s="3" t="s">
        <v>299</v>
      </c>
      <c r="F22" s="3" t="s">
        <v>300</v>
      </c>
      <c r="G22" s="3" t="s">
        <v>175</v>
      </c>
      <c r="H22" s="3" t="s">
        <v>176</v>
      </c>
      <c r="I22" s="3" t="s">
        <v>185</v>
      </c>
      <c r="J22" s="3" t="s">
        <v>265</v>
      </c>
      <c r="K22" s="4">
        <v>24245749081.080002</v>
      </c>
      <c r="L22" s="4">
        <v>0</v>
      </c>
      <c r="M22" s="4">
        <v>0</v>
      </c>
      <c r="N22" s="4">
        <v>0</v>
      </c>
      <c r="O22" s="4">
        <v>24245749081.080002</v>
      </c>
      <c r="P22" s="4">
        <v>17982770186.490002</v>
      </c>
      <c r="Q22" s="5">
        <v>46057</v>
      </c>
      <c r="R22" s="5">
        <v>45084</v>
      </c>
      <c r="S22" s="5">
        <v>45066</v>
      </c>
      <c r="T22" s="5">
        <v>45105</v>
      </c>
      <c r="U22" s="4">
        <v>70.2</v>
      </c>
      <c r="V22" s="4">
        <v>74.17</v>
      </c>
      <c r="W22" s="3">
        <v>1</v>
      </c>
      <c r="X22" s="3">
        <v>0.93</v>
      </c>
      <c r="Y22" s="5">
        <v>45064</v>
      </c>
      <c r="Z22" s="5">
        <v>45546</v>
      </c>
      <c r="AA22" s="5">
        <v>45709</v>
      </c>
      <c r="AB22" s="5">
        <v>45649</v>
      </c>
      <c r="AC22" s="5">
        <v>45714</v>
      </c>
      <c r="AD22" s="5">
        <v>46214</v>
      </c>
      <c r="AE22" s="5"/>
      <c r="AF22" s="5"/>
      <c r="AG22" s="5">
        <v>46157</v>
      </c>
      <c r="AH22" s="3" t="s">
        <v>301</v>
      </c>
      <c r="AI22" s="3" t="s">
        <v>302</v>
      </c>
      <c r="AJ22" s="5">
        <v>46152</v>
      </c>
      <c r="AK22" s="3"/>
      <c r="AL22" s="3"/>
      <c r="AM22" s="3"/>
      <c r="AN22" s="3">
        <f t="shared" si="0"/>
        <v>100</v>
      </c>
      <c r="AO22" s="3">
        <f t="shared" si="1"/>
        <v>100</v>
      </c>
      <c r="AP22" s="3">
        <f t="shared" si="2"/>
        <v>100</v>
      </c>
      <c r="AQ22" s="3">
        <f t="shared" si="3"/>
        <v>100</v>
      </c>
      <c r="AR22" s="3">
        <v>1</v>
      </c>
      <c r="AS22" s="3"/>
      <c r="AT22" s="3">
        <f t="shared" si="4"/>
        <v>100</v>
      </c>
      <c r="AU22" s="4">
        <v>90</v>
      </c>
      <c r="AV22" s="3">
        <f t="shared" si="5"/>
        <v>90</v>
      </c>
      <c r="AW22" s="3">
        <f t="shared" si="6"/>
        <v>90</v>
      </c>
      <c r="AX22" s="3" t="s">
        <v>303</v>
      </c>
      <c r="AY22" s="7" t="s">
        <v>151</v>
      </c>
      <c r="AZ22" s="7" t="s">
        <v>5</v>
      </c>
    </row>
    <row r="23" spans="1:52" ht="70.2" customHeight="1" x14ac:dyDescent="0.3">
      <c r="A23" s="32" t="s">
        <v>304</v>
      </c>
      <c r="B23" s="3" t="s">
        <v>180</v>
      </c>
      <c r="C23" s="3" t="s">
        <v>305</v>
      </c>
      <c r="D23" s="3" t="s">
        <v>306</v>
      </c>
      <c r="E23" s="3" t="s">
        <v>183</v>
      </c>
      <c r="F23" s="3" t="s">
        <v>307</v>
      </c>
      <c r="G23" s="3" t="s">
        <v>308</v>
      </c>
      <c r="H23" s="3" t="s">
        <v>196</v>
      </c>
      <c r="I23" s="3" t="s">
        <v>185</v>
      </c>
      <c r="J23" s="3" t="s">
        <v>186</v>
      </c>
      <c r="K23" s="4">
        <v>1498986578.77</v>
      </c>
      <c r="L23" s="4">
        <v>0</v>
      </c>
      <c r="M23" s="4">
        <v>0</v>
      </c>
      <c r="N23" s="4">
        <v>0</v>
      </c>
      <c r="O23" s="4">
        <v>1498986578.77</v>
      </c>
      <c r="P23" s="4">
        <v>1471824308.05</v>
      </c>
      <c r="Q23" s="5">
        <v>45750</v>
      </c>
      <c r="R23" s="5">
        <v>44510</v>
      </c>
      <c r="S23" s="5">
        <v>44509</v>
      </c>
      <c r="T23" s="5">
        <v>44510</v>
      </c>
      <c r="U23" s="4">
        <v>98.19</v>
      </c>
      <c r="V23" s="4">
        <v>98.19</v>
      </c>
      <c r="W23" s="3"/>
      <c r="X23" s="3"/>
      <c r="Y23" s="5">
        <v>44508</v>
      </c>
      <c r="Z23" s="5">
        <v>44581</v>
      </c>
      <c r="AA23" s="5">
        <v>44817</v>
      </c>
      <c r="AB23" s="5">
        <v>44786</v>
      </c>
      <c r="AC23" s="5">
        <v>44869</v>
      </c>
      <c r="AD23" s="5">
        <v>45407</v>
      </c>
      <c r="AE23" s="5">
        <v>45407</v>
      </c>
      <c r="AF23" s="5"/>
      <c r="AG23" s="5">
        <v>46157</v>
      </c>
      <c r="AH23" s="3"/>
      <c r="AI23" s="3"/>
      <c r="AJ23" s="5">
        <v>46152</v>
      </c>
      <c r="AK23" s="3"/>
      <c r="AL23" s="3"/>
      <c r="AM23" s="3"/>
      <c r="AN23" s="3" t="str">
        <f t="shared" si="0"/>
        <v/>
      </c>
      <c r="AO23" s="3" t="str">
        <f t="shared" si="1"/>
        <v/>
      </c>
      <c r="AP23" s="3">
        <f t="shared" si="2"/>
        <v>100</v>
      </c>
      <c r="AQ23" s="3" t="str">
        <f t="shared" si="3"/>
        <v/>
      </c>
      <c r="AR23" s="3">
        <v>1</v>
      </c>
      <c r="AS23" s="3"/>
      <c r="AT23" s="3">
        <f t="shared" si="4"/>
        <v>100</v>
      </c>
      <c r="AU23" s="4"/>
      <c r="AV23" s="3">
        <f t="shared" si="5"/>
        <v>90</v>
      </c>
      <c r="AW23" s="3" t="str">
        <f t="shared" si="6"/>
        <v/>
      </c>
      <c r="AX23" s="3" t="s">
        <v>309</v>
      </c>
      <c r="AY23" s="7" t="s">
        <v>190</v>
      </c>
      <c r="AZ23" s="7" t="s">
        <v>5</v>
      </c>
    </row>
    <row r="24" spans="1:52" ht="70.2" customHeight="1" x14ac:dyDescent="0.3">
      <c r="A24" s="32" t="s">
        <v>310</v>
      </c>
      <c r="B24" s="3" t="s">
        <v>139</v>
      </c>
      <c r="C24" s="3" t="s">
        <v>311</v>
      </c>
      <c r="D24" s="3" t="s">
        <v>312</v>
      </c>
      <c r="E24" s="3" t="s">
        <v>313</v>
      </c>
      <c r="F24" s="3" t="s">
        <v>314</v>
      </c>
      <c r="G24" s="3" t="s">
        <v>144</v>
      </c>
      <c r="H24" s="3" t="s">
        <v>196</v>
      </c>
      <c r="I24" s="3" t="s">
        <v>315</v>
      </c>
      <c r="J24" s="3" t="s">
        <v>316</v>
      </c>
      <c r="K24" s="4">
        <v>621744000</v>
      </c>
      <c r="L24" s="4">
        <v>550511999.39999998</v>
      </c>
      <c r="M24" s="4">
        <v>0</v>
      </c>
      <c r="N24" s="4">
        <v>0</v>
      </c>
      <c r="O24" s="4">
        <v>1172255999.4000001</v>
      </c>
      <c r="P24" s="4">
        <v>621744000</v>
      </c>
      <c r="Q24" s="5">
        <v>44495</v>
      </c>
      <c r="R24" s="5">
        <v>44391</v>
      </c>
      <c r="S24" s="5">
        <v>44390</v>
      </c>
      <c r="T24" s="5">
        <v>44383</v>
      </c>
      <c r="U24" s="4">
        <v>100</v>
      </c>
      <c r="V24" s="4">
        <v>91.71</v>
      </c>
      <c r="W24" s="3"/>
      <c r="X24" s="3"/>
      <c r="Y24" s="5">
        <v>44389</v>
      </c>
      <c r="Z24" s="5">
        <v>44399</v>
      </c>
      <c r="AA24" s="5">
        <v>44475</v>
      </c>
      <c r="AB24" s="5">
        <v>44475</v>
      </c>
      <c r="AC24" s="5">
        <v>44495</v>
      </c>
      <c r="AD24" s="5">
        <v>44651</v>
      </c>
      <c r="AE24" s="5">
        <v>44651</v>
      </c>
      <c r="AF24" s="5"/>
      <c r="AG24" s="5">
        <v>46157</v>
      </c>
      <c r="AH24" s="3"/>
      <c r="AI24" s="3"/>
      <c r="AJ24" s="5">
        <v>46152</v>
      </c>
      <c r="AK24" s="3"/>
      <c r="AL24" s="3"/>
      <c r="AM24" s="3"/>
      <c r="AN24" s="3" t="str">
        <f t="shared" si="0"/>
        <v/>
      </c>
      <c r="AO24" s="3" t="str">
        <f t="shared" si="1"/>
        <v/>
      </c>
      <c r="AP24" s="3">
        <f t="shared" si="2"/>
        <v>100</v>
      </c>
      <c r="AQ24" s="3" t="str">
        <f t="shared" si="3"/>
        <v/>
      </c>
      <c r="AR24" s="3">
        <v>0</v>
      </c>
      <c r="AS24" s="3"/>
      <c r="AT24" s="3">
        <f t="shared" si="4"/>
        <v>100</v>
      </c>
      <c r="AU24" s="4"/>
      <c r="AV24" s="3">
        <f t="shared" si="5"/>
        <v>100</v>
      </c>
      <c r="AW24" s="3" t="str">
        <f t="shared" si="6"/>
        <v/>
      </c>
      <c r="AX24" s="3" t="s">
        <v>317</v>
      </c>
      <c r="AY24" s="7" t="s">
        <v>161</v>
      </c>
      <c r="AZ24" s="7" t="s">
        <v>23</v>
      </c>
    </row>
    <row r="25" spans="1:52" ht="70.2" customHeight="1" x14ac:dyDescent="0.3">
      <c r="A25" s="32" t="s">
        <v>318</v>
      </c>
      <c r="B25" s="3" t="s">
        <v>163</v>
      </c>
      <c r="C25" s="3" t="s">
        <v>319</v>
      </c>
      <c r="D25" s="3" t="s">
        <v>320</v>
      </c>
      <c r="E25" s="3" t="s">
        <v>321</v>
      </c>
      <c r="F25" s="3" t="s">
        <v>322</v>
      </c>
      <c r="G25" s="3" t="s">
        <v>308</v>
      </c>
      <c r="H25" s="3" t="s">
        <v>196</v>
      </c>
      <c r="I25" s="3" t="s">
        <v>258</v>
      </c>
      <c r="J25" s="3" t="s">
        <v>186</v>
      </c>
      <c r="K25" s="4">
        <v>899027939.82000005</v>
      </c>
      <c r="L25" s="4">
        <v>0</v>
      </c>
      <c r="M25" s="4">
        <v>0</v>
      </c>
      <c r="N25" s="4">
        <v>0</v>
      </c>
      <c r="O25" s="4">
        <v>899027939.82000005</v>
      </c>
      <c r="P25" s="4">
        <v>895167939.80999994</v>
      </c>
      <c r="Q25" s="5">
        <v>45188</v>
      </c>
      <c r="R25" s="5">
        <v>44456</v>
      </c>
      <c r="S25" s="5">
        <v>44457</v>
      </c>
      <c r="T25" s="5">
        <v>44481</v>
      </c>
      <c r="U25" s="4">
        <v>99.57</v>
      </c>
      <c r="V25" s="4">
        <v>99.57</v>
      </c>
      <c r="W25" s="3"/>
      <c r="X25" s="3"/>
      <c r="Y25" s="5">
        <v>44456</v>
      </c>
      <c r="Z25" s="5">
        <v>44617</v>
      </c>
      <c r="AA25" s="5">
        <v>44687</v>
      </c>
      <c r="AB25" s="5">
        <v>44687</v>
      </c>
      <c r="AC25" s="5">
        <v>44698</v>
      </c>
      <c r="AD25" s="5">
        <v>45046</v>
      </c>
      <c r="AE25" s="5">
        <v>45046</v>
      </c>
      <c r="AF25" s="5"/>
      <c r="AG25" s="5">
        <v>46157</v>
      </c>
      <c r="AH25" s="3"/>
      <c r="AI25" s="3"/>
      <c r="AJ25" s="5"/>
      <c r="AK25" s="3"/>
      <c r="AL25" s="3"/>
      <c r="AM25" s="3"/>
      <c r="AN25" s="3" t="str">
        <f t="shared" si="0"/>
        <v/>
      </c>
      <c r="AO25" s="3" t="str">
        <f t="shared" si="1"/>
        <v/>
      </c>
      <c r="AP25" s="3">
        <f t="shared" si="2"/>
        <v>100</v>
      </c>
      <c r="AQ25" s="3" t="str">
        <f t="shared" si="3"/>
        <v/>
      </c>
      <c r="AR25" s="3">
        <v>0</v>
      </c>
      <c r="AS25" s="3"/>
      <c r="AT25" s="3" t="str">
        <f t="shared" si="4"/>
        <v/>
      </c>
      <c r="AU25" s="4"/>
      <c r="AV25" s="3">
        <f t="shared" si="5"/>
        <v>100</v>
      </c>
      <c r="AW25" s="3" t="str">
        <f t="shared" si="6"/>
        <v/>
      </c>
      <c r="AX25" s="3" t="s">
        <v>309</v>
      </c>
      <c r="AY25" s="7" t="s">
        <v>161</v>
      </c>
      <c r="AZ25" s="7" t="s">
        <v>5</v>
      </c>
    </row>
    <row r="26" spans="1:52" ht="70.2" customHeight="1" x14ac:dyDescent="0.3">
      <c r="A26" s="32" t="s">
        <v>323</v>
      </c>
      <c r="B26" s="3" t="s">
        <v>180</v>
      </c>
      <c r="C26" s="3" t="s">
        <v>324</v>
      </c>
      <c r="D26" s="3" t="s">
        <v>325</v>
      </c>
      <c r="E26" s="3" t="s">
        <v>321</v>
      </c>
      <c r="F26" s="3" t="s">
        <v>326</v>
      </c>
      <c r="G26" s="3" t="s">
        <v>175</v>
      </c>
      <c r="H26" s="3" t="s">
        <v>327</v>
      </c>
      <c r="I26" s="3" t="s">
        <v>185</v>
      </c>
      <c r="J26" s="3" t="s">
        <v>186</v>
      </c>
      <c r="K26" s="4">
        <v>8561481683</v>
      </c>
      <c r="L26" s="4">
        <v>7999399317</v>
      </c>
      <c r="M26" s="4">
        <v>0</v>
      </c>
      <c r="N26" s="4">
        <v>0</v>
      </c>
      <c r="O26" s="4">
        <v>16560881000</v>
      </c>
      <c r="P26" s="4">
        <v>7774977527.5600004</v>
      </c>
      <c r="Q26" s="5">
        <v>45847</v>
      </c>
      <c r="R26" s="5">
        <v>45104</v>
      </c>
      <c r="S26" s="5">
        <v>45100</v>
      </c>
      <c r="T26" s="5">
        <v>45100</v>
      </c>
      <c r="U26" s="4">
        <v>74.260000000000005</v>
      </c>
      <c r="V26" s="4">
        <v>46.95</v>
      </c>
      <c r="W26" s="3">
        <v>0</v>
      </c>
      <c r="X26" s="3">
        <v>0</v>
      </c>
      <c r="Y26" s="5">
        <v>45100</v>
      </c>
      <c r="Z26" s="5">
        <v>45252</v>
      </c>
      <c r="AA26" s="5">
        <v>45433</v>
      </c>
      <c r="AB26" s="5">
        <v>45433</v>
      </c>
      <c r="AC26" s="5">
        <v>45509</v>
      </c>
      <c r="AD26" s="5">
        <v>46204</v>
      </c>
      <c r="AE26" s="5"/>
      <c r="AF26" s="5"/>
      <c r="AG26" s="5">
        <v>46157</v>
      </c>
      <c r="AH26" s="3" t="s">
        <v>328</v>
      </c>
      <c r="AI26" s="3" t="s">
        <v>329</v>
      </c>
      <c r="AJ26" s="5">
        <v>46152</v>
      </c>
      <c r="AK26" s="3"/>
      <c r="AL26" s="3"/>
      <c r="AM26" s="3"/>
      <c r="AN26" s="3">
        <f t="shared" si="0"/>
        <v>0</v>
      </c>
      <c r="AO26" s="3">
        <f t="shared" si="1"/>
        <v>0</v>
      </c>
      <c r="AP26" s="3">
        <f t="shared" si="2"/>
        <v>100</v>
      </c>
      <c r="AQ26" s="3">
        <f t="shared" si="3"/>
        <v>100</v>
      </c>
      <c r="AR26" s="3">
        <v>2</v>
      </c>
      <c r="AS26" s="3"/>
      <c r="AT26" s="3">
        <f t="shared" si="4"/>
        <v>100</v>
      </c>
      <c r="AU26" s="4">
        <v>100</v>
      </c>
      <c r="AV26" s="3">
        <f t="shared" si="5"/>
        <v>75</v>
      </c>
      <c r="AW26" s="3">
        <f t="shared" si="6"/>
        <v>30</v>
      </c>
      <c r="AX26" s="3" t="s">
        <v>330</v>
      </c>
      <c r="AY26" s="7" t="s">
        <v>214</v>
      </c>
      <c r="AZ26" s="7" t="s">
        <v>23</v>
      </c>
    </row>
    <row r="27" spans="1:52" ht="70.2" customHeight="1" x14ac:dyDescent="0.3">
      <c r="A27" s="32" t="s">
        <v>331</v>
      </c>
      <c r="B27" s="3" t="s">
        <v>163</v>
      </c>
      <c r="C27" s="3" t="s">
        <v>332</v>
      </c>
      <c r="D27" s="3" t="s">
        <v>333</v>
      </c>
      <c r="E27" s="3" t="s">
        <v>334</v>
      </c>
      <c r="F27" s="3" t="s">
        <v>335</v>
      </c>
      <c r="G27" s="3" t="s">
        <v>144</v>
      </c>
      <c r="H27" s="3" t="s">
        <v>145</v>
      </c>
      <c r="I27" s="3" t="s">
        <v>234</v>
      </c>
      <c r="J27" s="3" t="s">
        <v>265</v>
      </c>
      <c r="K27" s="4">
        <v>13470040052.48</v>
      </c>
      <c r="L27" s="4">
        <v>0</v>
      </c>
      <c r="M27" s="4">
        <v>0</v>
      </c>
      <c r="N27" s="4">
        <v>0</v>
      </c>
      <c r="O27" s="4">
        <v>13470040052.48</v>
      </c>
      <c r="P27" s="4">
        <v>13464961639.190001</v>
      </c>
      <c r="Q27" s="5">
        <v>45573</v>
      </c>
      <c r="R27" s="5">
        <v>44856</v>
      </c>
      <c r="S27" s="5">
        <v>44845</v>
      </c>
      <c r="T27" s="5">
        <v>44854</v>
      </c>
      <c r="U27" s="4">
        <v>100</v>
      </c>
      <c r="V27" s="4">
        <v>99.96</v>
      </c>
      <c r="W27" s="3"/>
      <c r="X27" s="3"/>
      <c r="Y27" s="5">
        <v>44844</v>
      </c>
      <c r="Z27" s="5">
        <v>44980</v>
      </c>
      <c r="AA27" s="5">
        <v>45028</v>
      </c>
      <c r="AB27" s="5">
        <v>44978</v>
      </c>
      <c r="AC27" s="5">
        <v>45028</v>
      </c>
      <c r="AD27" s="5">
        <v>45412</v>
      </c>
      <c r="AE27" s="5">
        <v>45412</v>
      </c>
      <c r="AF27" s="5"/>
      <c r="AG27" s="5">
        <v>46157</v>
      </c>
      <c r="AH27" s="3" t="s">
        <v>336</v>
      </c>
      <c r="AI27" s="3" t="s">
        <v>168</v>
      </c>
      <c r="AJ27" s="5">
        <v>46157</v>
      </c>
      <c r="AK27" s="3"/>
      <c r="AL27" s="3"/>
      <c r="AM27" s="3"/>
      <c r="AN27" s="3" t="str">
        <f t="shared" si="0"/>
        <v/>
      </c>
      <c r="AO27" s="3" t="str">
        <f t="shared" si="1"/>
        <v/>
      </c>
      <c r="AP27" s="3">
        <f t="shared" si="2"/>
        <v>100</v>
      </c>
      <c r="AQ27" s="3" t="str">
        <f t="shared" si="3"/>
        <v/>
      </c>
      <c r="AR27" s="3">
        <v>1</v>
      </c>
      <c r="AS27" s="3"/>
      <c r="AT27" s="3">
        <f t="shared" si="4"/>
        <v>0</v>
      </c>
      <c r="AU27" s="4">
        <v>0</v>
      </c>
      <c r="AV27" s="3">
        <f t="shared" si="5"/>
        <v>90</v>
      </c>
      <c r="AW27" s="3" t="str">
        <f t="shared" si="6"/>
        <v/>
      </c>
      <c r="AX27" s="3" t="s">
        <v>169</v>
      </c>
      <c r="AY27" s="7" t="s">
        <v>151</v>
      </c>
      <c r="AZ27" s="7" t="s">
        <v>39</v>
      </c>
    </row>
    <row r="28" spans="1:52" ht="70.2" customHeight="1" x14ac:dyDescent="0.3">
      <c r="A28" s="32" t="s">
        <v>337</v>
      </c>
      <c r="B28" s="3" t="s">
        <v>180</v>
      </c>
      <c r="C28" s="3" t="s">
        <v>338</v>
      </c>
      <c r="D28" s="3" t="s">
        <v>339</v>
      </c>
      <c r="E28" s="3" t="s">
        <v>183</v>
      </c>
      <c r="F28" s="3" t="s">
        <v>340</v>
      </c>
      <c r="G28" s="3" t="s">
        <v>308</v>
      </c>
      <c r="H28" s="3" t="s">
        <v>196</v>
      </c>
      <c r="I28" s="3" t="s">
        <v>185</v>
      </c>
      <c r="J28" s="3" t="s">
        <v>186</v>
      </c>
      <c r="K28" s="4">
        <v>10889084257</v>
      </c>
      <c r="L28" s="4">
        <v>0</v>
      </c>
      <c r="M28" s="4">
        <v>0</v>
      </c>
      <c r="N28" s="4">
        <v>0</v>
      </c>
      <c r="O28" s="4">
        <v>10889084257</v>
      </c>
      <c r="P28" s="4">
        <v>10889084255.700001</v>
      </c>
      <c r="Q28" s="5">
        <v>45804</v>
      </c>
      <c r="R28" s="5">
        <v>44926</v>
      </c>
      <c r="S28" s="5">
        <v>44925</v>
      </c>
      <c r="T28" s="5">
        <v>44952</v>
      </c>
      <c r="U28" s="4">
        <v>100</v>
      </c>
      <c r="V28" s="4">
        <v>100</v>
      </c>
      <c r="W28" s="3"/>
      <c r="X28" s="3"/>
      <c r="Y28" s="5">
        <v>44924</v>
      </c>
      <c r="Z28" s="5">
        <v>45020</v>
      </c>
      <c r="AA28" s="5">
        <v>45107</v>
      </c>
      <c r="AB28" s="5">
        <v>45107</v>
      </c>
      <c r="AC28" s="5">
        <v>45139</v>
      </c>
      <c r="AD28" s="5">
        <v>45746</v>
      </c>
      <c r="AE28" s="5">
        <v>45746</v>
      </c>
      <c r="AF28" s="5"/>
      <c r="AG28" s="5">
        <v>46157</v>
      </c>
      <c r="AH28" s="3" t="s">
        <v>341</v>
      </c>
      <c r="AI28" s="3" t="s">
        <v>342</v>
      </c>
      <c r="AJ28" s="5">
        <v>46152</v>
      </c>
      <c r="AK28" s="3"/>
      <c r="AL28" s="3"/>
      <c r="AM28" s="3"/>
      <c r="AN28" s="3" t="str">
        <f t="shared" si="0"/>
        <v/>
      </c>
      <c r="AO28" s="3" t="str">
        <f t="shared" si="1"/>
        <v/>
      </c>
      <c r="AP28" s="3">
        <f t="shared" si="2"/>
        <v>100</v>
      </c>
      <c r="AQ28" s="3" t="str">
        <f t="shared" si="3"/>
        <v/>
      </c>
      <c r="AR28" s="3">
        <v>1</v>
      </c>
      <c r="AS28" s="3"/>
      <c r="AT28" s="3">
        <f t="shared" si="4"/>
        <v>100</v>
      </c>
      <c r="AU28" s="4"/>
      <c r="AV28" s="3">
        <f t="shared" si="5"/>
        <v>90</v>
      </c>
      <c r="AW28" s="3" t="str">
        <f t="shared" si="6"/>
        <v/>
      </c>
      <c r="AX28" s="3" t="s">
        <v>309</v>
      </c>
      <c r="AY28" s="7" t="s">
        <v>190</v>
      </c>
      <c r="AZ28" s="7" t="s">
        <v>343</v>
      </c>
    </row>
    <row r="29" spans="1:52" ht="70.2" customHeight="1" x14ac:dyDescent="0.3">
      <c r="A29" s="32" t="s">
        <v>344</v>
      </c>
      <c r="B29" s="3" t="s">
        <v>180</v>
      </c>
      <c r="C29" s="3" t="s">
        <v>345</v>
      </c>
      <c r="D29" s="3" t="s">
        <v>346</v>
      </c>
      <c r="E29" s="3" t="s">
        <v>321</v>
      </c>
      <c r="F29" s="3" t="s">
        <v>347</v>
      </c>
      <c r="G29" s="3" t="s">
        <v>144</v>
      </c>
      <c r="H29" s="3" t="s">
        <v>145</v>
      </c>
      <c r="I29" s="3" t="s">
        <v>158</v>
      </c>
      <c r="J29" s="3" t="s">
        <v>186</v>
      </c>
      <c r="K29" s="4">
        <v>9528331044</v>
      </c>
      <c r="L29" s="4">
        <v>0</v>
      </c>
      <c r="M29" s="4">
        <v>0</v>
      </c>
      <c r="N29" s="4">
        <v>0</v>
      </c>
      <c r="O29" s="4">
        <v>9528331044</v>
      </c>
      <c r="P29" s="4">
        <v>9480535511</v>
      </c>
      <c r="Q29" s="5">
        <v>46155</v>
      </c>
      <c r="R29" s="5">
        <v>44800</v>
      </c>
      <c r="S29" s="5">
        <v>44798</v>
      </c>
      <c r="T29" s="5">
        <v>44826</v>
      </c>
      <c r="U29" s="4">
        <v>99.5</v>
      </c>
      <c r="V29" s="4">
        <v>99.5</v>
      </c>
      <c r="W29" s="3"/>
      <c r="X29" s="3"/>
      <c r="Y29" s="5">
        <v>44797</v>
      </c>
      <c r="Z29" s="5">
        <v>45012</v>
      </c>
      <c r="AA29" s="5">
        <v>45054</v>
      </c>
      <c r="AB29" s="5">
        <v>44917</v>
      </c>
      <c r="AC29" s="5">
        <v>45111</v>
      </c>
      <c r="AD29" s="5">
        <v>45858</v>
      </c>
      <c r="AE29" s="5">
        <v>45858</v>
      </c>
      <c r="AF29" s="5"/>
      <c r="AG29" s="5">
        <v>46157</v>
      </c>
      <c r="AH29" s="3" t="s">
        <v>348</v>
      </c>
      <c r="AI29" s="3" t="s">
        <v>349</v>
      </c>
      <c r="AJ29" s="5">
        <v>46152</v>
      </c>
      <c r="AK29" s="3"/>
      <c r="AL29" s="3"/>
      <c r="AM29" s="3"/>
      <c r="AN29" s="3" t="str">
        <f t="shared" si="0"/>
        <v/>
      </c>
      <c r="AO29" s="3" t="str">
        <f t="shared" si="1"/>
        <v/>
      </c>
      <c r="AP29" s="3">
        <f t="shared" si="2"/>
        <v>100</v>
      </c>
      <c r="AQ29" s="3" t="str">
        <f t="shared" si="3"/>
        <v/>
      </c>
      <c r="AR29" s="3">
        <v>2</v>
      </c>
      <c r="AS29" s="3"/>
      <c r="AT29" s="3">
        <f t="shared" si="4"/>
        <v>100</v>
      </c>
      <c r="AU29" s="4">
        <v>0</v>
      </c>
      <c r="AV29" s="3">
        <f t="shared" si="5"/>
        <v>75</v>
      </c>
      <c r="AW29" s="3" t="str">
        <f t="shared" si="6"/>
        <v/>
      </c>
      <c r="AX29" s="3" t="s">
        <v>350</v>
      </c>
      <c r="AY29" s="7" t="s">
        <v>214</v>
      </c>
      <c r="AZ29" s="7" t="s">
        <v>23</v>
      </c>
    </row>
    <row r="30" spans="1:52" ht="70.2" customHeight="1" x14ac:dyDescent="0.3">
      <c r="A30" s="32" t="s">
        <v>351</v>
      </c>
      <c r="B30" s="3" t="s">
        <v>180</v>
      </c>
      <c r="C30" s="3" t="s">
        <v>352</v>
      </c>
      <c r="D30" s="3" t="s">
        <v>353</v>
      </c>
      <c r="E30" s="3" t="s">
        <v>321</v>
      </c>
      <c r="F30" s="3" t="s">
        <v>354</v>
      </c>
      <c r="G30" s="3" t="s">
        <v>308</v>
      </c>
      <c r="H30" s="3" t="s">
        <v>196</v>
      </c>
      <c r="I30" s="3" t="s">
        <v>185</v>
      </c>
      <c r="J30" s="3" t="s">
        <v>186</v>
      </c>
      <c r="K30" s="4">
        <v>14530936843.950001</v>
      </c>
      <c r="L30" s="4">
        <v>0</v>
      </c>
      <c r="M30" s="4">
        <v>0</v>
      </c>
      <c r="N30" s="4">
        <v>0</v>
      </c>
      <c r="O30" s="4">
        <v>14530936843.950001</v>
      </c>
      <c r="P30" s="4">
        <v>14530936843.950001</v>
      </c>
      <c r="Q30" s="5">
        <v>45727</v>
      </c>
      <c r="R30" s="5">
        <v>44926</v>
      </c>
      <c r="S30" s="5">
        <v>44925</v>
      </c>
      <c r="T30" s="5">
        <v>44952</v>
      </c>
      <c r="U30" s="4">
        <v>100</v>
      </c>
      <c r="V30" s="4">
        <v>100</v>
      </c>
      <c r="W30" s="3"/>
      <c r="X30" s="3"/>
      <c r="Y30" s="5">
        <v>44924</v>
      </c>
      <c r="Z30" s="5">
        <v>45009</v>
      </c>
      <c r="AA30" s="5">
        <v>45077</v>
      </c>
      <c r="AB30" s="5">
        <v>45071</v>
      </c>
      <c r="AC30" s="5">
        <v>45112</v>
      </c>
      <c r="AD30" s="5">
        <v>45569</v>
      </c>
      <c r="AE30" s="5">
        <v>45569</v>
      </c>
      <c r="AF30" s="5"/>
      <c r="AG30" s="5">
        <v>46157</v>
      </c>
      <c r="AH30" s="3" t="s">
        <v>342</v>
      </c>
      <c r="AI30" s="3"/>
      <c r="AJ30" s="5"/>
      <c r="AK30" s="3"/>
      <c r="AL30" s="3"/>
      <c r="AM30" s="3"/>
      <c r="AN30" s="3" t="str">
        <f t="shared" si="0"/>
        <v/>
      </c>
      <c r="AO30" s="3" t="str">
        <f t="shared" si="1"/>
        <v/>
      </c>
      <c r="AP30" s="3">
        <f t="shared" si="2"/>
        <v>100</v>
      </c>
      <c r="AQ30" s="3" t="str">
        <f t="shared" si="3"/>
        <v/>
      </c>
      <c r="AR30" s="3">
        <v>1</v>
      </c>
      <c r="AS30" s="3"/>
      <c r="AT30" s="3" t="str">
        <f t="shared" si="4"/>
        <v/>
      </c>
      <c r="AU30" s="4"/>
      <c r="AV30" s="3">
        <f t="shared" si="5"/>
        <v>90</v>
      </c>
      <c r="AW30" s="3" t="str">
        <f t="shared" si="6"/>
        <v/>
      </c>
      <c r="AX30" s="3" t="s">
        <v>309</v>
      </c>
      <c r="AY30" s="7" t="s">
        <v>214</v>
      </c>
      <c r="AZ30" s="7" t="s">
        <v>35</v>
      </c>
    </row>
    <row r="31" spans="1:52" ht="70.2" customHeight="1" x14ac:dyDescent="0.3">
      <c r="A31" s="32" t="s">
        <v>355</v>
      </c>
      <c r="B31" s="3" t="s">
        <v>180</v>
      </c>
      <c r="C31" s="3" t="s">
        <v>356</v>
      </c>
      <c r="D31" s="3" t="s">
        <v>357</v>
      </c>
      <c r="E31" s="3" t="s">
        <v>358</v>
      </c>
      <c r="F31" s="3" t="s">
        <v>359</v>
      </c>
      <c r="G31" s="3" t="s">
        <v>308</v>
      </c>
      <c r="H31" s="3" t="s">
        <v>196</v>
      </c>
      <c r="I31" s="3" t="s">
        <v>185</v>
      </c>
      <c r="J31" s="3" t="s">
        <v>316</v>
      </c>
      <c r="K31" s="4">
        <v>1226001186</v>
      </c>
      <c r="L31" s="4">
        <v>0</v>
      </c>
      <c r="M31" s="4">
        <v>0</v>
      </c>
      <c r="N31" s="4">
        <v>0</v>
      </c>
      <c r="O31" s="4">
        <v>1226001186</v>
      </c>
      <c r="P31" s="4">
        <v>1226001180.24</v>
      </c>
      <c r="Q31" s="5">
        <v>46135</v>
      </c>
      <c r="R31" s="5">
        <v>45104</v>
      </c>
      <c r="S31" s="5">
        <v>45094</v>
      </c>
      <c r="T31" s="5">
        <v>45107</v>
      </c>
      <c r="U31" s="4">
        <v>100</v>
      </c>
      <c r="V31" s="4">
        <v>100</v>
      </c>
      <c r="W31" s="3"/>
      <c r="X31" s="3"/>
      <c r="Y31" s="5">
        <v>45093</v>
      </c>
      <c r="Z31" s="5">
        <v>45250</v>
      </c>
      <c r="AA31" s="5">
        <v>45348</v>
      </c>
      <c r="AB31" s="5">
        <v>45348</v>
      </c>
      <c r="AC31" s="5">
        <v>45426</v>
      </c>
      <c r="AD31" s="5">
        <v>45900</v>
      </c>
      <c r="AE31" s="5">
        <v>45900</v>
      </c>
      <c r="AF31" s="5"/>
      <c r="AG31" s="5">
        <v>46157</v>
      </c>
      <c r="AH31" s="3" t="s">
        <v>341</v>
      </c>
      <c r="AI31" s="3" t="s">
        <v>360</v>
      </c>
      <c r="AJ31" s="5">
        <v>46152</v>
      </c>
      <c r="AK31" s="3"/>
      <c r="AL31" s="3"/>
      <c r="AM31" s="3"/>
      <c r="AN31" s="3" t="str">
        <f t="shared" si="0"/>
        <v/>
      </c>
      <c r="AO31" s="3" t="str">
        <f t="shared" si="1"/>
        <v/>
      </c>
      <c r="AP31" s="3">
        <f t="shared" si="2"/>
        <v>100</v>
      </c>
      <c r="AQ31" s="3" t="str">
        <f t="shared" si="3"/>
        <v/>
      </c>
      <c r="AR31" s="3">
        <v>2</v>
      </c>
      <c r="AS31" s="3"/>
      <c r="AT31" s="3">
        <f t="shared" si="4"/>
        <v>100</v>
      </c>
      <c r="AU31" s="4"/>
      <c r="AV31" s="3">
        <f t="shared" si="5"/>
        <v>75</v>
      </c>
      <c r="AW31" s="3" t="str">
        <f t="shared" si="6"/>
        <v/>
      </c>
      <c r="AX31" s="3" t="s">
        <v>309</v>
      </c>
      <c r="AY31" s="7" t="s">
        <v>190</v>
      </c>
      <c r="AZ31" s="7" t="s">
        <v>6</v>
      </c>
    </row>
    <row r="32" spans="1:52" ht="70.2" customHeight="1" x14ac:dyDescent="0.3">
      <c r="A32" s="32" t="s">
        <v>361</v>
      </c>
      <c r="B32" s="3" t="s">
        <v>180</v>
      </c>
      <c r="C32" s="3" t="s">
        <v>362</v>
      </c>
      <c r="D32" s="3" t="s">
        <v>363</v>
      </c>
      <c r="E32" s="3" t="s">
        <v>183</v>
      </c>
      <c r="F32" s="3" t="s">
        <v>364</v>
      </c>
      <c r="G32" s="3" t="s">
        <v>175</v>
      </c>
      <c r="H32" s="3" t="s">
        <v>176</v>
      </c>
      <c r="I32" s="3" t="s">
        <v>185</v>
      </c>
      <c r="J32" s="3" t="s">
        <v>365</v>
      </c>
      <c r="K32" s="4">
        <v>10940798931</v>
      </c>
      <c r="L32" s="4">
        <v>0</v>
      </c>
      <c r="M32" s="4">
        <v>0</v>
      </c>
      <c r="N32" s="4">
        <v>0</v>
      </c>
      <c r="O32" s="4">
        <v>10940798931</v>
      </c>
      <c r="P32" s="4">
        <v>10085171737.309999</v>
      </c>
      <c r="Q32" s="5">
        <v>46150</v>
      </c>
      <c r="R32" s="5">
        <v>45474</v>
      </c>
      <c r="S32" s="5">
        <v>45472</v>
      </c>
      <c r="T32" s="5">
        <v>45490</v>
      </c>
      <c r="U32" s="4">
        <v>85.25</v>
      </c>
      <c r="V32" s="4">
        <v>92.18</v>
      </c>
      <c r="W32" s="3">
        <v>1</v>
      </c>
      <c r="X32" s="3">
        <v>0.97</v>
      </c>
      <c r="Y32" s="5">
        <v>45471</v>
      </c>
      <c r="Z32" s="5">
        <v>45573</v>
      </c>
      <c r="AA32" s="5">
        <v>45793</v>
      </c>
      <c r="AB32" s="5">
        <v>45793</v>
      </c>
      <c r="AC32" s="5">
        <v>45847</v>
      </c>
      <c r="AD32" s="5">
        <v>46151</v>
      </c>
      <c r="AE32" s="5"/>
      <c r="AF32" s="5"/>
      <c r="AG32" s="5">
        <v>46157</v>
      </c>
      <c r="AH32" s="3" t="s">
        <v>366</v>
      </c>
      <c r="AI32" s="3" t="s">
        <v>367</v>
      </c>
      <c r="AJ32" s="5">
        <v>46152</v>
      </c>
      <c r="AK32" s="3"/>
      <c r="AL32" s="3"/>
      <c r="AM32" s="3"/>
      <c r="AN32" s="3">
        <f t="shared" si="0"/>
        <v>100</v>
      </c>
      <c r="AO32" s="3">
        <f t="shared" si="1"/>
        <v>100</v>
      </c>
      <c r="AP32" s="3">
        <f t="shared" si="2"/>
        <v>100</v>
      </c>
      <c r="AQ32" s="3">
        <f t="shared" si="3"/>
        <v>100</v>
      </c>
      <c r="AR32" s="3">
        <v>0</v>
      </c>
      <c r="AS32" s="3"/>
      <c r="AT32" s="3">
        <f t="shared" si="4"/>
        <v>100</v>
      </c>
      <c r="AU32" s="4">
        <v>100</v>
      </c>
      <c r="AV32" s="3">
        <f t="shared" si="5"/>
        <v>100</v>
      </c>
      <c r="AW32" s="3">
        <f t="shared" si="6"/>
        <v>0</v>
      </c>
      <c r="AX32" s="3" t="s">
        <v>368</v>
      </c>
      <c r="AY32" s="7" t="s">
        <v>190</v>
      </c>
      <c r="AZ32" s="7" t="s">
        <v>5</v>
      </c>
    </row>
    <row r="33" spans="1:52" ht="70.2" customHeight="1" x14ac:dyDescent="0.3">
      <c r="A33" s="32" t="s">
        <v>369</v>
      </c>
      <c r="B33" s="3" t="s">
        <v>370</v>
      </c>
      <c r="C33" s="3" t="s">
        <v>371</v>
      </c>
      <c r="D33" s="3" t="s">
        <v>372</v>
      </c>
      <c r="E33" s="3" t="s">
        <v>373</v>
      </c>
      <c r="F33" s="3" t="s">
        <v>374</v>
      </c>
      <c r="G33" s="3" t="s">
        <v>175</v>
      </c>
      <c r="H33" s="3" t="s">
        <v>176</v>
      </c>
      <c r="I33" s="3" t="s">
        <v>158</v>
      </c>
      <c r="J33" s="3" t="s">
        <v>186</v>
      </c>
      <c r="K33" s="4">
        <v>8600669220</v>
      </c>
      <c r="L33" s="4">
        <v>0</v>
      </c>
      <c r="M33" s="4">
        <v>216384280</v>
      </c>
      <c r="N33" s="4">
        <v>0</v>
      </c>
      <c r="O33" s="4">
        <v>8817053500</v>
      </c>
      <c r="P33" s="4">
        <v>3440267688</v>
      </c>
      <c r="Q33" s="5">
        <v>45895</v>
      </c>
      <c r="R33" s="5">
        <v>45094</v>
      </c>
      <c r="S33" s="5">
        <v>45094</v>
      </c>
      <c r="T33" s="5">
        <v>45100</v>
      </c>
      <c r="U33" s="4">
        <v>98.16</v>
      </c>
      <c r="V33" s="4">
        <v>39.020000000000003</v>
      </c>
      <c r="W33" s="3">
        <v>0</v>
      </c>
      <c r="X33" s="3">
        <v>0</v>
      </c>
      <c r="Y33" s="5">
        <v>45093</v>
      </c>
      <c r="Z33" s="5">
        <v>45093</v>
      </c>
      <c r="AA33" s="5">
        <v>45188</v>
      </c>
      <c r="AB33" s="5">
        <v>45188</v>
      </c>
      <c r="AC33" s="5">
        <v>45202</v>
      </c>
      <c r="AD33" s="5">
        <v>46056</v>
      </c>
      <c r="AE33" s="5"/>
      <c r="AF33" s="5"/>
      <c r="AG33" s="5">
        <v>46157</v>
      </c>
      <c r="AH33" s="3" t="s">
        <v>375</v>
      </c>
      <c r="AI33" s="3" t="s">
        <v>376</v>
      </c>
      <c r="AJ33" s="5">
        <v>46152</v>
      </c>
      <c r="AK33" s="3"/>
      <c r="AL33" s="3"/>
      <c r="AM33" s="3"/>
      <c r="AN33" s="3">
        <f t="shared" si="0"/>
        <v>0</v>
      </c>
      <c r="AO33" s="3">
        <f t="shared" si="1"/>
        <v>0</v>
      </c>
      <c r="AP33" s="3">
        <f t="shared" si="2"/>
        <v>100</v>
      </c>
      <c r="AQ33" s="3">
        <f t="shared" si="3"/>
        <v>100</v>
      </c>
      <c r="AR33" s="3">
        <v>3</v>
      </c>
      <c r="AS33" s="3"/>
      <c r="AT33" s="3">
        <f t="shared" si="4"/>
        <v>100</v>
      </c>
      <c r="AU33" s="4">
        <v>0</v>
      </c>
      <c r="AV33" s="3">
        <f t="shared" si="5"/>
        <v>60</v>
      </c>
      <c r="AW33" s="3">
        <f t="shared" si="6"/>
        <v>0</v>
      </c>
      <c r="AX33" s="3" t="s">
        <v>377</v>
      </c>
      <c r="AY33" s="7" t="s">
        <v>214</v>
      </c>
      <c r="AZ33" s="7" t="s">
        <v>378</v>
      </c>
    </row>
    <row r="34" spans="1:52" ht="70.2" customHeight="1" x14ac:dyDescent="0.3">
      <c r="A34" s="32" t="s">
        <v>379</v>
      </c>
      <c r="B34" s="3" t="s">
        <v>180</v>
      </c>
      <c r="C34" s="3" t="s">
        <v>380</v>
      </c>
      <c r="D34" s="3" t="s">
        <v>381</v>
      </c>
      <c r="E34" s="3" t="s">
        <v>382</v>
      </c>
      <c r="F34" s="3" t="s">
        <v>383</v>
      </c>
      <c r="G34" s="3" t="s">
        <v>308</v>
      </c>
      <c r="H34" s="3" t="s">
        <v>196</v>
      </c>
      <c r="I34" s="3" t="s">
        <v>185</v>
      </c>
      <c r="J34" s="3" t="s">
        <v>186</v>
      </c>
      <c r="K34" s="4">
        <v>1657061525</v>
      </c>
      <c r="L34" s="4">
        <v>0</v>
      </c>
      <c r="M34" s="4">
        <v>0</v>
      </c>
      <c r="N34" s="4">
        <v>0</v>
      </c>
      <c r="O34" s="4">
        <v>1657061525</v>
      </c>
      <c r="P34" s="4">
        <v>1657061514.45</v>
      </c>
      <c r="Q34" s="5">
        <v>45986</v>
      </c>
      <c r="R34" s="5">
        <v>45104</v>
      </c>
      <c r="S34" s="5">
        <v>45094</v>
      </c>
      <c r="T34" s="5">
        <v>45105</v>
      </c>
      <c r="U34" s="4">
        <v>100.01</v>
      </c>
      <c r="V34" s="4">
        <v>100</v>
      </c>
      <c r="W34" s="3"/>
      <c r="X34" s="3"/>
      <c r="Y34" s="5">
        <v>45093</v>
      </c>
      <c r="Z34" s="5">
        <v>45275</v>
      </c>
      <c r="AA34" s="5">
        <v>45386</v>
      </c>
      <c r="AB34" s="5">
        <v>45343</v>
      </c>
      <c r="AC34" s="5">
        <v>45411</v>
      </c>
      <c r="AD34" s="5">
        <v>45716</v>
      </c>
      <c r="AE34" s="5">
        <v>45716</v>
      </c>
      <c r="AF34" s="5"/>
      <c r="AG34" s="5">
        <v>46157</v>
      </c>
      <c r="AH34" s="3" t="s">
        <v>384</v>
      </c>
      <c r="AI34" s="3" t="s">
        <v>342</v>
      </c>
      <c r="AJ34" s="5">
        <v>46152</v>
      </c>
      <c r="AK34" s="3"/>
      <c r="AL34" s="3"/>
      <c r="AM34" s="3"/>
      <c r="AN34" s="3" t="str">
        <f t="shared" si="0"/>
        <v/>
      </c>
      <c r="AO34" s="3" t="str">
        <f t="shared" si="1"/>
        <v/>
      </c>
      <c r="AP34" s="3">
        <f t="shared" si="2"/>
        <v>100</v>
      </c>
      <c r="AQ34" s="3" t="str">
        <f t="shared" si="3"/>
        <v/>
      </c>
      <c r="AR34" s="3">
        <v>1</v>
      </c>
      <c r="AS34" s="3"/>
      <c r="AT34" s="3">
        <f t="shared" si="4"/>
        <v>100</v>
      </c>
      <c r="AU34" s="4"/>
      <c r="AV34" s="3">
        <f t="shared" si="5"/>
        <v>90</v>
      </c>
      <c r="AW34" s="3" t="str">
        <f t="shared" si="6"/>
        <v/>
      </c>
      <c r="AX34" s="3" t="s">
        <v>309</v>
      </c>
      <c r="AY34" s="7" t="s">
        <v>190</v>
      </c>
      <c r="AZ34" s="7" t="s">
        <v>385</v>
      </c>
    </row>
    <row r="35" spans="1:52" ht="70.2" customHeight="1" x14ac:dyDescent="0.3">
      <c r="A35" s="32" t="s">
        <v>386</v>
      </c>
      <c r="B35" s="3" t="s">
        <v>171</v>
      </c>
      <c r="C35" s="3" t="s">
        <v>387</v>
      </c>
      <c r="D35" s="3" t="s">
        <v>388</v>
      </c>
      <c r="E35" s="3" t="s">
        <v>389</v>
      </c>
      <c r="F35" s="3" t="s">
        <v>390</v>
      </c>
      <c r="G35" s="3" t="s">
        <v>308</v>
      </c>
      <c r="H35" s="3" t="s">
        <v>196</v>
      </c>
      <c r="I35" s="3" t="s">
        <v>258</v>
      </c>
      <c r="J35" s="3" t="s">
        <v>186</v>
      </c>
      <c r="K35" s="4">
        <v>14555629486.65</v>
      </c>
      <c r="L35" s="4">
        <v>0</v>
      </c>
      <c r="M35" s="4">
        <v>0</v>
      </c>
      <c r="N35" s="4">
        <v>0</v>
      </c>
      <c r="O35" s="4">
        <v>14555629486.65</v>
      </c>
      <c r="P35" s="4">
        <v>13745203046.280001</v>
      </c>
      <c r="Q35" s="5">
        <v>45328</v>
      </c>
      <c r="R35" s="5">
        <v>45104</v>
      </c>
      <c r="S35" s="5">
        <v>45101</v>
      </c>
      <c r="T35" s="5">
        <v>45107</v>
      </c>
      <c r="U35" s="4">
        <v>94.43</v>
      </c>
      <c r="V35" s="4">
        <v>94.43</v>
      </c>
      <c r="W35" s="3"/>
      <c r="X35" s="3"/>
      <c r="Y35" s="5">
        <v>45100</v>
      </c>
      <c r="Z35" s="5"/>
      <c r="AA35" s="5">
        <v>45223</v>
      </c>
      <c r="AB35" s="5">
        <v>45175</v>
      </c>
      <c r="AC35" s="5">
        <v>45223</v>
      </c>
      <c r="AD35" s="5">
        <v>45288</v>
      </c>
      <c r="AE35" s="5">
        <v>45288</v>
      </c>
      <c r="AF35" s="5"/>
      <c r="AG35" s="5">
        <v>46157</v>
      </c>
      <c r="AH35" s="3"/>
      <c r="AI35" s="3"/>
      <c r="AJ35" s="5"/>
      <c r="AK35" s="3"/>
      <c r="AL35" s="3"/>
      <c r="AM35" s="3"/>
      <c r="AN35" s="3" t="str">
        <f t="shared" ref="AN35:AN59"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O35" s="3" t="str">
        <f t="shared" ref="AO35:AO59"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P35" s="3">
        <f t="shared" ref="AP35:AP59"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Q35" s="3" t="str">
        <f t="shared" ref="AQ35:AQ59" si="10">IF(AND($U35&gt;$V35,$G35="CONTRATADO EN EJECUCIÓN"),100,IF(AND($V35&gt;$U35,($V35-$U35)&gt;50,$G35="CONTRATADO EN EJECUCIÓN"),0,IF(AND($V35&gt;$U35,($V35-$U35)&lt;=50,$V35&lt;=60),100,IF(AND($V35&gt;$U35,($V35-$U35)&lt;=50,$V35&gt;60),$AP35,""))))</f>
        <v/>
      </c>
      <c r="AR35" s="3">
        <v>0</v>
      </c>
      <c r="AS35" s="3"/>
      <c r="AT35" s="3" t="str">
        <f t="shared" ref="AT35:AT59" si="11">IF(ISNUMBER($AJ35),IF(DAY($AJ35)=10,100,IF(DAY($AJ35)=11,80,IF(DAY($AJ35)=12,50,0))),"")</f>
        <v/>
      </c>
      <c r="AU35" s="4"/>
      <c r="AV35" s="3">
        <f t="shared" ref="AV35:AV59" si="12">IF($AR35=0,100,IF($AR35=1,90,IF($AR35=2,75,IF($AR35=3,60,IF($AR35=4,50,IF($AR35=5,25,IF($AR35&gt;=6,0,"")))))))</f>
        <v>100</v>
      </c>
      <c r="AW35" s="3" t="str">
        <f t="shared" ref="AW35:AW59" si="13">IFERROR(IF($G35="CONTRATADO EN EJECUCIÓN",IF(AND(ISNUMBER($AD35),ISNUMBER($AG35),$AD35&lt;$AG35),0,IF($AR35&gt;=1,(IFERROR(IF(ISTEXT($AH35),($AN35*0.4+$AO35*0.2+$AQ35*0.4),""),""))*$AV35/100,IFERROR(IF(ISTEXT($AH35),($AN35*0.4+$AO35*0.2+$AQ35*0.4),""),""))),IF($G35="CONTRATADO SIN ACTA DE INICIO",IF(AND($AG35-$AB35&gt;=0,$AG35-$AB35&lt;=30),100,0),"")),"Revisar")</f>
        <v/>
      </c>
      <c r="AX35" s="3" t="s">
        <v>309</v>
      </c>
      <c r="AY35" s="7" t="s">
        <v>161</v>
      </c>
      <c r="AZ35" s="7" t="s">
        <v>39</v>
      </c>
    </row>
    <row r="36" spans="1:52" ht="70.2" customHeight="1" x14ac:dyDescent="0.3">
      <c r="A36" s="32" t="s">
        <v>391</v>
      </c>
      <c r="B36" s="3" t="s">
        <v>180</v>
      </c>
      <c r="C36" s="3" t="s">
        <v>392</v>
      </c>
      <c r="D36" s="3" t="s">
        <v>393</v>
      </c>
      <c r="E36" s="3" t="s">
        <v>183</v>
      </c>
      <c r="F36" s="3" t="s">
        <v>394</v>
      </c>
      <c r="G36" s="3" t="s">
        <v>175</v>
      </c>
      <c r="H36" s="3" t="s">
        <v>176</v>
      </c>
      <c r="I36" s="3" t="s">
        <v>185</v>
      </c>
      <c r="J36" s="3" t="s">
        <v>186</v>
      </c>
      <c r="K36" s="4">
        <v>23521931236</v>
      </c>
      <c r="L36" s="4">
        <v>0</v>
      </c>
      <c r="M36" s="4">
        <v>30000000000</v>
      </c>
      <c r="N36" s="4">
        <v>0</v>
      </c>
      <c r="O36" s="4">
        <v>53521931236</v>
      </c>
      <c r="P36" s="4">
        <v>1833458390</v>
      </c>
      <c r="Q36" s="5">
        <v>46078</v>
      </c>
      <c r="R36" s="5">
        <v>45508</v>
      </c>
      <c r="S36" s="5">
        <v>45506</v>
      </c>
      <c r="T36" s="5">
        <v>45505</v>
      </c>
      <c r="U36" s="4">
        <v>7.66</v>
      </c>
      <c r="V36" s="4">
        <v>2.78</v>
      </c>
      <c r="W36" s="3">
        <v>1</v>
      </c>
      <c r="X36" s="3">
        <v>0.71</v>
      </c>
      <c r="Y36" s="5">
        <v>45505</v>
      </c>
      <c r="Z36" s="5"/>
      <c r="AA36" s="5">
        <v>45953</v>
      </c>
      <c r="AB36" s="5">
        <v>45953</v>
      </c>
      <c r="AC36" s="5">
        <v>45967</v>
      </c>
      <c r="AD36" s="5">
        <v>46727</v>
      </c>
      <c r="AE36" s="5"/>
      <c r="AF36" s="5"/>
      <c r="AG36" s="5">
        <v>46157</v>
      </c>
      <c r="AH36" s="3" t="s">
        <v>395</v>
      </c>
      <c r="AI36" s="3" t="s">
        <v>396</v>
      </c>
      <c r="AJ36" s="5">
        <v>46152</v>
      </c>
      <c r="AK36" s="3"/>
      <c r="AL36" s="3"/>
      <c r="AM36" s="3"/>
      <c r="AN36" s="3">
        <f t="shared" si="7"/>
        <v>71.739130434782609</v>
      </c>
      <c r="AO36" s="3">
        <f t="shared" si="8"/>
        <v>100</v>
      </c>
      <c r="AP36" s="3">
        <f t="shared" si="9"/>
        <v>100</v>
      </c>
      <c r="AQ36" s="3">
        <f t="shared" si="10"/>
        <v>100</v>
      </c>
      <c r="AR36" s="3">
        <v>0</v>
      </c>
      <c r="AS36" s="3"/>
      <c r="AT36" s="3">
        <f t="shared" si="11"/>
        <v>100</v>
      </c>
      <c r="AU36" s="4">
        <v>100</v>
      </c>
      <c r="AV36" s="3">
        <f t="shared" si="12"/>
        <v>100</v>
      </c>
      <c r="AW36" s="3">
        <f t="shared" si="13"/>
        <v>88.695652173913047</v>
      </c>
      <c r="AX36" s="3" t="s">
        <v>397</v>
      </c>
      <c r="AY36" s="7"/>
      <c r="AZ36" s="7" t="s">
        <v>398</v>
      </c>
    </row>
    <row r="37" spans="1:52" ht="70.2" customHeight="1" x14ac:dyDescent="0.3">
      <c r="A37" s="32" t="s">
        <v>399</v>
      </c>
      <c r="B37" s="3" t="s">
        <v>163</v>
      </c>
      <c r="C37" s="3" t="s">
        <v>400</v>
      </c>
      <c r="D37" s="3" t="s">
        <v>401</v>
      </c>
      <c r="E37" s="3" t="s">
        <v>232</v>
      </c>
      <c r="F37" s="3" t="s">
        <v>402</v>
      </c>
      <c r="G37" s="3" t="s">
        <v>144</v>
      </c>
      <c r="H37" s="3" t="s">
        <v>176</v>
      </c>
      <c r="I37" s="3" t="s">
        <v>158</v>
      </c>
      <c r="J37" s="3" t="s">
        <v>186</v>
      </c>
      <c r="K37" s="4">
        <v>2999999744</v>
      </c>
      <c r="L37" s="4">
        <v>0</v>
      </c>
      <c r="M37" s="4">
        <v>0</v>
      </c>
      <c r="N37" s="4">
        <v>0</v>
      </c>
      <c r="O37" s="4">
        <v>2999999744</v>
      </c>
      <c r="P37" s="4">
        <v>2999999744</v>
      </c>
      <c r="Q37" s="5">
        <v>45477</v>
      </c>
      <c r="R37" s="5">
        <v>45241</v>
      </c>
      <c r="S37" s="5">
        <v>45234</v>
      </c>
      <c r="T37" s="5">
        <v>45244</v>
      </c>
      <c r="U37" s="4">
        <v>95.7</v>
      </c>
      <c r="V37" s="4">
        <v>100</v>
      </c>
      <c r="W37" s="3"/>
      <c r="X37" s="3"/>
      <c r="Y37" s="5">
        <v>45233</v>
      </c>
      <c r="Z37" s="5">
        <v>45408</v>
      </c>
      <c r="AA37" s="5">
        <v>45427</v>
      </c>
      <c r="AB37" s="5">
        <v>45427</v>
      </c>
      <c r="AC37" s="5">
        <v>45440</v>
      </c>
      <c r="AD37" s="5">
        <v>45900</v>
      </c>
      <c r="AE37" s="5">
        <v>45968</v>
      </c>
      <c r="AF37" s="5"/>
      <c r="AG37" s="5">
        <v>46157</v>
      </c>
      <c r="AH37" s="3" t="s">
        <v>403</v>
      </c>
      <c r="AI37" s="3" t="s">
        <v>404</v>
      </c>
      <c r="AJ37" s="5">
        <v>46155</v>
      </c>
      <c r="AK37" s="3"/>
      <c r="AL37" s="3"/>
      <c r="AM37" s="3"/>
      <c r="AN37" s="3" t="str">
        <f t="shared" si="7"/>
        <v/>
      </c>
      <c r="AO37" s="3" t="str">
        <f t="shared" si="8"/>
        <v/>
      </c>
      <c r="AP37" s="3">
        <f t="shared" si="9"/>
        <v>100</v>
      </c>
      <c r="AQ37" s="3">
        <f t="shared" si="10"/>
        <v>100</v>
      </c>
      <c r="AR37" s="3">
        <v>1</v>
      </c>
      <c r="AS37" s="3"/>
      <c r="AT37" s="3">
        <f t="shared" si="11"/>
        <v>0</v>
      </c>
      <c r="AU37" s="4">
        <v>100</v>
      </c>
      <c r="AV37" s="3">
        <f t="shared" si="12"/>
        <v>90</v>
      </c>
      <c r="AW37" s="3" t="str">
        <f t="shared" si="13"/>
        <v/>
      </c>
      <c r="AX37" s="3" t="s">
        <v>405</v>
      </c>
      <c r="AY37" s="7" t="s">
        <v>161</v>
      </c>
      <c r="AZ37" s="7" t="s">
        <v>406</v>
      </c>
    </row>
    <row r="38" spans="1:52" ht="70.2" customHeight="1" x14ac:dyDescent="0.3">
      <c r="A38" s="33" t="s">
        <v>407</v>
      </c>
      <c r="B38" s="3" t="s">
        <v>180</v>
      </c>
      <c r="C38" s="3" t="s">
        <v>408</v>
      </c>
      <c r="D38" s="3" t="s">
        <v>409</v>
      </c>
      <c r="E38" s="3" t="s">
        <v>313</v>
      </c>
      <c r="F38" s="3" t="s">
        <v>410</v>
      </c>
      <c r="G38" s="3" t="s">
        <v>175</v>
      </c>
      <c r="H38" s="3" t="s">
        <v>176</v>
      </c>
      <c r="I38" s="3" t="s">
        <v>185</v>
      </c>
      <c r="J38" s="3" t="s">
        <v>411</v>
      </c>
      <c r="K38" s="4">
        <v>10877971203</v>
      </c>
      <c r="L38" s="4">
        <v>0</v>
      </c>
      <c r="M38" s="4">
        <v>0</v>
      </c>
      <c r="N38" s="4">
        <v>0</v>
      </c>
      <c r="O38" s="4">
        <v>10877971203</v>
      </c>
      <c r="P38" s="4">
        <v>6973821945.6599998</v>
      </c>
      <c r="Q38" s="5">
        <v>46072</v>
      </c>
      <c r="R38" s="5">
        <v>45301</v>
      </c>
      <c r="S38" s="5">
        <v>45291</v>
      </c>
      <c r="T38" s="5">
        <v>45290</v>
      </c>
      <c r="U38" s="4">
        <v>58.95</v>
      </c>
      <c r="V38" s="4">
        <v>64.11</v>
      </c>
      <c r="W38" s="3">
        <v>1</v>
      </c>
      <c r="X38" s="3">
        <v>0.7</v>
      </c>
      <c r="Y38" s="5">
        <v>45290</v>
      </c>
      <c r="Z38" s="5">
        <v>45411</v>
      </c>
      <c r="AA38" s="5">
        <v>45573</v>
      </c>
      <c r="AB38" s="5">
        <v>45573</v>
      </c>
      <c r="AC38" s="5">
        <v>45616</v>
      </c>
      <c r="AD38" s="5">
        <v>46177</v>
      </c>
      <c r="AE38" s="5"/>
      <c r="AF38" s="5"/>
      <c r="AG38" s="5">
        <v>46157</v>
      </c>
      <c r="AH38" s="3" t="s">
        <v>395</v>
      </c>
      <c r="AI38" s="3" t="s">
        <v>412</v>
      </c>
      <c r="AJ38" s="5">
        <v>46152</v>
      </c>
      <c r="AK38" s="3"/>
      <c r="AL38" s="3"/>
      <c r="AM38" s="3"/>
      <c r="AN38" s="3">
        <f t="shared" si="7"/>
        <v>69.565217391304344</v>
      </c>
      <c r="AO38" s="3">
        <f t="shared" si="8"/>
        <v>100</v>
      </c>
      <c r="AP38" s="3">
        <f t="shared" si="9"/>
        <v>100</v>
      </c>
      <c r="AQ38" s="3">
        <f t="shared" si="10"/>
        <v>100</v>
      </c>
      <c r="AR38" s="3">
        <v>1</v>
      </c>
      <c r="AS38" s="3"/>
      <c r="AT38" s="3">
        <f t="shared" si="11"/>
        <v>100</v>
      </c>
      <c r="AU38" s="4">
        <v>100</v>
      </c>
      <c r="AV38" s="3">
        <f t="shared" si="12"/>
        <v>90</v>
      </c>
      <c r="AW38" s="3">
        <f t="shared" si="13"/>
        <v>79.043478260869563</v>
      </c>
      <c r="AX38" s="3" t="s">
        <v>413</v>
      </c>
      <c r="AY38" s="7" t="s">
        <v>190</v>
      </c>
      <c r="AZ38" s="7" t="s">
        <v>5</v>
      </c>
    </row>
    <row r="39" spans="1:52" ht="70.2" customHeight="1" x14ac:dyDescent="0.3">
      <c r="A39" s="32" t="s">
        <v>414</v>
      </c>
      <c r="B39" s="3" t="s">
        <v>171</v>
      </c>
      <c r="C39" s="3" t="s">
        <v>415</v>
      </c>
      <c r="D39" s="3" t="s">
        <v>416</v>
      </c>
      <c r="E39" s="3" t="s">
        <v>389</v>
      </c>
      <c r="F39" s="3" t="s">
        <v>417</v>
      </c>
      <c r="G39" s="3" t="s">
        <v>144</v>
      </c>
      <c r="H39" s="3" t="s">
        <v>176</v>
      </c>
      <c r="I39" s="3" t="s">
        <v>258</v>
      </c>
      <c r="J39" s="3" t="s">
        <v>418</v>
      </c>
      <c r="K39" s="4">
        <v>20000000000</v>
      </c>
      <c r="L39" s="4">
        <v>0</v>
      </c>
      <c r="M39" s="4">
        <v>5812601822.2700005</v>
      </c>
      <c r="N39" s="4">
        <v>0</v>
      </c>
      <c r="O39" s="4">
        <v>25812601822.27</v>
      </c>
      <c r="P39" s="4">
        <v>19985101937.880001</v>
      </c>
      <c r="Q39" s="5">
        <v>45656</v>
      </c>
      <c r="R39" s="5">
        <v>45332</v>
      </c>
      <c r="S39" s="5">
        <v>45330</v>
      </c>
      <c r="T39" s="5">
        <v>45470</v>
      </c>
      <c r="U39" s="4">
        <v>96.54</v>
      </c>
      <c r="V39" s="4">
        <v>77.42</v>
      </c>
      <c r="W39" s="3"/>
      <c r="X39" s="3"/>
      <c r="Y39" s="5">
        <v>45329</v>
      </c>
      <c r="Z39" s="5">
        <v>45575</v>
      </c>
      <c r="AA39" s="5">
        <v>45575</v>
      </c>
      <c r="AB39" s="5">
        <v>45338</v>
      </c>
      <c r="AC39" s="5">
        <v>45580</v>
      </c>
      <c r="AD39" s="5">
        <v>45656</v>
      </c>
      <c r="AE39" s="5">
        <v>45656</v>
      </c>
      <c r="AF39" s="5"/>
      <c r="AG39" s="5">
        <v>46157</v>
      </c>
      <c r="AH39" s="3" t="s">
        <v>419</v>
      </c>
      <c r="AI39" s="3" t="s">
        <v>149</v>
      </c>
      <c r="AJ39" s="5">
        <v>46157</v>
      </c>
      <c r="AK39" s="3"/>
      <c r="AL39" s="3"/>
      <c r="AM39" s="3"/>
      <c r="AN39" s="3" t="str">
        <f t="shared" si="7"/>
        <v/>
      </c>
      <c r="AO39" s="3" t="str">
        <f t="shared" si="8"/>
        <v/>
      </c>
      <c r="AP39" s="3">
        <f t="shared" si="9"/>
        <v>100</v>
      </c>
      <c r="AQ39" s="3" t="str">
        <f t="shared" si="10"/>
        <v/>
      </c>
      <c r="AR39" s="3">
        <v>1</v>
      </c>
      <c r="AS39" s="3"/>
      <c r="AT39" s="3">
        <f t="shared" si="11"/>
        <v>0</v>
      </c>
      <c r="AU39" s="4">
        <v>0</v>
      </c>
      <c r="AV39" s="3">
        <f t="shared" si="12"/>
        <v>90</v>
      </c>
      <c r="AW39" s="3" t="str">
        <f t="shared" si="13"/>
        <v/>
      </c>
      <c r="AX39" s="3" t="s">
        <v>420</v>
      </c>
      <c r="AY39" s="7" t="s">
        <v>161</v>
      </c>
      <c r="AZ39" s="7" t="s">
        <v>39</v>
      </c>
    </row>
    <row r="40" spans="1:52" ht="70.2" customHeight="1" x14ac:dyDescent="0.3">
      <c r="A40" s="32" t="s">
        <v>421</v>
      </c>
      <c r="B40" s="3" t="s">
        <v>180</v>
      </c>
      <c r="C40" s="3" t="s">
        <v>422</v>
      </c>
      <c r="D40" s="3" t="s">
        <v>423</v>
      </c>
      <c r="E40" s="3" t="s">
        <v>382</v>
      </c>
      <c r="F40" s="3" t="s">
        <v>424</v>
      </c>
      <c r="G40" s="3" t="s">
        <v>175</v>
      </c>
      <c r="H40" s="3" t="s">
        <v>176</v>
      </c>
      <c r="I40" s="3" t="s">
        <v>146</v>
      </c>
      <c r="J40" s="3" t="s">
        <v>186</v>
      </c>
      <c r="K40" s="4">
        <v>2401226400</v>
      </c>
      <c r="L40" s="4">
        <v>0</v>
      </c>
      <c r="M40" s="4">
        <v>0</v>
      </c>
      <c r="N40" s="4">
        <v>0</v>
      </c>
      <c r="O40" s="4">
        <v>2401226400</v>
      </c>
      <c r="P40" s="4">
        <v>1430677608</v>
      </c>
      <c r="Q40" s="5">
        <v>46136</v>
      </c>
      <c r="R40" s="5">
        <v>45759</v>
      </c>
      <c r="S40" s="5">
        <v>45757</v>
      </c>
      <c r="T40" s="5">
        <v>45770</v>
      </c>
      <c r="U40" s="4">
        <v>49.92</v>
      </c>
      <c r="V40" s="4">
        <v>59.58</v>
      </c>
      <c r="W40" s="3">
        <v>1</v>
      </c>
      <c r="X40" s="3">
        <v>0.69</v>
      </c>
      <c r="Y40" s="5">
        <v>45756</v>
      </c>
      <c r="Z40" s="5">
        <v>45917</v>
      </c>
      <c r="AA40" s="5">
        <v>45994</v>
      </c>
      <c r="AB40" s="5">
        <v>45994</v>
      </c>
      <c r="AC40" s="5">
        <v>46006</v>
      </c>
      <c r="AD40" s="5">
        <v>46198</v>
      </c>
      <c r="AE40" s="5"/>
      <c r="AF40" s="5"/>
      <c r="AG40" s="5">
        <v>46157</v>
      </c>
      <c r="AH40" s="3" t="s">
        <v>425</v>
      </c>
      <c r="AI40" s="3" t="s">
        <v>426</v>
      </c>
      <c r="AJ40" s="5">
        <v>46152</v>
      </c>
      <c r="AK40" s="3"/>
      <c r="AL40" s="3"/>
      <c r="AM40" s="3"/>
      <c r="AN40" s="3">
        <f t="shared" si="7"/>
        <v>67.391304347826079</v>
      </c>
      <c r="AO40" s="3">
        <f t="shared" si="8"/>
        <v>100</v>
      </c>
      <c r="AP40" s="3">
        <f t="shared" si="9"/>
        <v>100</v>
      </c>
      <c r="AQ40" s="3">
        <f t="shared" si="10"/>
        <v>100</v>
      </c>
      <c r="AR40" s="3">
        <v>0</v>
      </c>
      <c r="AS40" s="3"/>
      <c r="AT40" s="3">
        <f t="shared" si="11"/>
        <v>100</v>
      </c>
      <c r="AU40" s="4">
        <v>100</v>
      </c>
      <c r="AV40" s="3">
        <f t="shared" si="12"/>
        <v>100</v>
      </c>
      <c r="AW40" s="3">
        <f t="shared" si="13"/>
        <v>86.956521739130437</v>
      </c>
      <c r="AX40" s="3" t="s">
        <v>427</v>
      </c>
      <c r="AY40" s="7" t="s">
        <v>190</v>
      </c>
      <c r="AZ40" s="7" t="s">
        <v>428</v>
      </c>
    </row>
    <row r="41" spans="1:52" ht="70.2" customHeight="1" x14ac:dyDescent="0.3">
      <c r="A41" s="33" t="s">
        <v>429</v>
      </c>
      <c r="B41" s="3" t="s">
        <v>370</v>
      </c>
      <c r="C41" s="3" t="s">
        <v>430</v>
      </c>
      <c r="D41" s="3" t="s">
        <v>431</v>
      </c>
      <c r="E41" s="3" t="s">
        <v>373</v>
      </c>
      <c r="F41" s="3" t="s">
        <v>432</v>
      </c>
      <c r="G41" s="3" t="s">
        <v>175</v>
      </c>
      <c r="H41" s="3" t="s">
        <v>176</v>
      </c>
      <c r="I41" s="3" t="s">
        <v>158</v>
      </c>
      <c r="J41" s="3" t="s">
        <v>316</v>
      </c>
      <c r="K41" s="4">
        <v>1207242704</v>
      </c>
      <c r="L41" s="4">
        <v>0</v>
      </c>
      <c r="M41" s="4">
        <v>219361128</v>
      </c>
      <c r="N41" s="4">
        <v>0</v>
      </c>
      <c r="O41" s="4">
        <v>1426603832</v>
      </c>
      <c r="P41" s="4">
        <v>943448256</v>
      </c>
      <c r="Q41" s="5">
        <v>45994</v>
      </c>
      <c r="R41" s="5">
        <v>45590</v>
      </c>
      <c r="S41" s="5">
        <v>45583</v>
      </c>
      <c r="T41" s="5">
        <v>45636</v>
      </c>
      <c r="U41" s="4">
        <v>99.87</v>
      </c>
      <c r="V41" s="4">
        <v>66.13</v>
      </c>
      <c r="W41" s="3">
        <v>1</v>
      </c>
      <c r="X41" s="3">
        <v>1</v>
      </c>
      <c r="Y41" s="5">
        <v>45582</v>
      </c>
      <c r="Z41" s="5">
        <v>45754</v>
      </c>
      <c r="AA41" s="5">
        <v>45762</v>
      </c>
      <c r="AB41" s="5">
        <v>45762</v>
      </c>
      <c r="AC41" s="5">
        <v>45793</v>
      </c>
      <c r="AD41" s="5">
        <v>46127</v>
      </c>
      <c r="AE41" s="5"/>
      <c r="AF41" s="5"/>
      <c r="AG41" s="5">
        <v>46157</v>
      </c>
      <c r="AH41" s="3" t="s">
        <v>433</v>
      </c>
      <c r="AI41" s="3" t="s">
        <v>434</v>
      </c>
      <c r="AJ41" s="5">
        <v>46152</v>
      </c>
      <c r="AK41" s="3"/>
      <c r="AL41" s="3"/>
      <c r="AM41" s="3"/>
      <c r="AN41" s="3">
        <f t="shared" si="7"/>
        <v>100</v>
      </c>
      <c r="AO41" s="3">
        <f t="shared" si="8"/>
        <v>100</v>
      </c>
      <c r="AP41" s="3">
        <f t="shared" si="9"/>
        <v>100</v>
      </c>
      <c r="AQ41" s="3">
        <f t="shared" si="10"/>
        <v>100</v>
      </c>
      <c r="AR41" s="3">
        <v>2</v>
      </c>
      <c r="AS41" s="3"/>
      <c r="AT41" s="3">
        <f t="shared" si="11"/>
        <v>100</v>
      </c>
      <c r="AU41" s="4">
        <v>100</v>
      </c>
      <c r="AV41" s="3">
        <f t="shared" si="12"/>
        <v>75</v>
      </c>
      <c r="AW41" s="3">
        <f t="shared" si="13"/>
        <v>0</v>
      </c>
      <c r="AX41" s="3" t="s">
        <v>435</v>
      </c>
      <c r="AY41" s="7" t="s">
        <v>214</v>
      </c>
      <c r="AZ41" s="7" t="s">
        <v>24</v>
      </c>
    </row>
    <row r="42" spans="1:52" ht="70.2" customHeight="1" x14ac:dyDescent="0.3">
      <c r="A42" s="32" t="s">
        <v>436</v>
      </c>
      <c r="B42" s="3" t="s">
        <v>370</v>
      </c>
      <c r="C42" s="3" t="s">
        <v>437</v>
      </c>
      <c r="D42" s="3" t="s">
        <v>438</v>
      </c>
      <c r="E42" s="3" t="s">
        <v>373</v>
      </c>
      <c r="F42" s="3" t="s">
        <v>432</v>
      </c>
      <c r="G42" s="3" t="s">
        <v>175</v>
      </c>
      <c r="H42" s="3" t="s">
        <v>176</v>
      </c>
      <c r="I42" s="3" t="s">
        <v>158</v>
      </c>
      <c r="J42" s="3" t="s">
        <v>186</v>
      </c>
      <c r="K42" s="4">
        <v>7025611116</v>
      </c>
      <c r="L42" s="4">
        <v>0</v>
      </c>
      <c r="M42" s="4">
        <v>633276980</v>
      </c>
      <c r="N42" s="4">
        <v>0</v>
      </c>
      <c r="O42" s="4">
        <v>7658888096</v>
      </c>
      <c r="P42" s="4">
        <v>4248342671.4000001</v>
      </c>
      <c r="Q42" s="5">
        <v>46106</v>
      </c>
      <c r="R42" s="5">
        <v>45674</v>
      </c>
      <c r="S42" s="5">
        <v>45649</v>
      </c>
      <c r="T42" s="5">
        <v>45649</v>
      </c>
      <c r="U42" s="4">
        <v>72.7</v>
      </c>
      <c r="V42" s="4">
        <v>55.47</v>
      </c>
      <c r="W42" s="3">
        <v>1</v>
      </c>
      <c r="X42" s="3">
        <v>0.84</v>
      </c>
      <c r="Y42" s="5">
        <v>45649</v>
      </c>
      <c r="Z42" s="5"/>
      <c r="AA42" s="5">
        <v>45813</v>
      </c>
      <c r="AB42" s="5">
        <v>45813</v>
      </c>
      <c r="AC42" s="5">
        <v>45869</v>
      </c>
      <c r="AD42" s="5">
        <v>46234</v>
      </c>
      <c r="AE42" s="5"/>
      <c r="AF42" s="5"/>
      <c r="AG42" s="5">
        <v>46157</v>
      </c>
      <c r="AH42" s="3" t="s">
        <v>439</v>
      </c>
      <c r="AI42" s="3" t="s">
        <v>440</v>
      </c>
      <c r="AJ42" s="5">
        <v>46152</v>
      </c>
      <c r="AK42" s="3"/>
      <c r="AL42" s="3"/>
      <c r="AM42" s="3"/>
      <c r="AN42" s="3">
        <f t="shared" si="7"/>
        <v>100</v>
      </c>
      <c r="AO42" s="3">
        <f t="shared" si="8"/>
        <v>100</v>
      </c>
      <c r="AP42" s="3">
        <f t="shared" si="9"/>
        <v>100</v>
      </c>
      <c r="AQ42" s="3">
        <f t="shared" si="10"/>
        <v>100</v>
      </c>
      <c r="AR42" s="3">
        <v>0</v>
      </c>
      <c r="AS42" s="3"/>
      <c r="AT42" s="3">
        <f t="shared" si="11"/>
        <v>100</v>
      </c>
      <c r="AU42" s="4">
        <v>100</v>
      </c>
      <c r="AV42" s="3">
        <f t="shared" si="12"/>
        <v>100</v>
      </c>
      <c r="AW42" s="3">
        <f t="shared" si="13"/>
        <v>100</v>
      </c>
      <c r="AX42" s="3" t="s">
        <v>441</v>
      </c>
      <c r="AY42" s="7" t="s">
        <v>151</v>
      </c>
      <c r="AZ42" s="7" t="s">
        <v>442</v>
      </c>
    </row>
    <row r="43" spans="1:52" ht="252" customHeight="1" x14ac:dyDescent="0.3">
      <c r="A43" s="32" t="s">
        <v>443</v>
      </c>
      <c r="B43" s="3" t="s">
        <v>163</v>
      </c>
      <c r="C43" s="3" t="s">
        <v>444</v>
      </c>
      <c r="D43" s="3" t="s">
        <v>445</v>
      </c>
      <c r="E43" s="3" t="s">
        <v>232</v>
      </c>
      <c r="F43" s="3" t="s">
        <v>446</v>
      </c>
      <c r="G43" s="3" t="s">
        <v>447</v>
      </c>
      <c r="H43" s="3"/>
      <c r="I43" s="3"/>
      <c r="J43" s="3" t="s">
        <v>186</v>
      </c>
      <c r="K43" s="4">
        <v>2942601333.2800002</v>
      </c>
      <c r="L43" s="4">
        <v>0</v>
      </c>
      <c r="M43" s="4">
        <v>0</v>
      </c>
      <c r="N43" s="4">
        <v>0</v>
      </c>
      <c r="O43" s="4">
        <v>2942601333.2800002</v>
      </c>
      <c r="P43" s="4">
        <v>0</v>
      </c>
      <c r="Q43" s="5"/>
      <c r="R43" s="5">
        <v>45619</v>
      </c>
      <c r="S43" s="5">
        <v>45616</v>
      </c>
      <c r="T43" s="5">
        <v>45622</v>
      </c>
      <c r="U43" s="4">
        <v>0</v>
      </c>
      <c r="V43" s="4">
        <v>0</v>
      </c>
      <c r="W43" s="3"/>
      <c r="X43" s="3"/>
      <c r="Y43" s="5">
        <v>45615</v>
      </c>
      <c r="Z43" s="5">
        <v>46086</v>
      </c>
      <c r="AA43" s="5"/>
      <c r="AB43" s="5"/>
      <c r="AC43" s="5"/>
      <c r="AD43" s="5"/>
      <c r="AE43" s="5"/>
      <c r="AF43" s="5"/>
      <c r="AG43" s="5">
        <v>46157</v>
      </c>
      <c r="AH43" s="3" t="s">
        <v>448</v>
      </c>
      <c r="AI43" s="3" t="s">
        <v>449</v>
      </c>
      <c r="AJ43" s="5">
        <v>46152</v>
      </c>
      <c r="AK43" s="3">
        <v>542</v>
      </c>
      <c r="AL43" s="3"/>
      <c r="AM43" s="3"/>
      <c r="AN43" s="3" t="str">
        <f t="shared" si="7"/>
        <v/>
      </c>
      <c r="AO43" s="3" t="str">
        <f t="shared" si="8"/>
        <v/>
      </c>
      <c r="AP43" s="3">
        <f t="shared" si="9"/>
        <v>100</v>
      </c>
      <c r="AQ43" s="3" t="str">
        <f t="shared" si="10"/>
        <v/>
      </c>
      <c r="AR43" s="3">
        <v>0</v>
      </c>
      <c r="AS43" s="3">
        <v>100</v>
      </c>
      <c r="AT43" s="3">
        <f t="shared" si="11"/>
        <v>100</v>
      </c>
      <c r="AU43" s="4">
        <v>100</v>
      </c>
      <c r="AV43" s="3">
        <f t="shared" si="12"/>
        <v>100</v>
      </c>
      <c r="AW43" s="3" t="str">
        <f t="shared" si="13"/>
        <v/>
      </c>
      <c r="AX43" s="3" t="s">
        <v>450</v>
      </c>
      <c r="AY43" s="7" t="s">
        <v>151</v>
      </c>
      <c r="AZ43" s="7" t="s">
        <v>39</v>
      </c>
    </row>
    <row r="44" spans="1:52" ht="70.2" customHeight="1" x14ac:dyDescent="0.3">
      <c r="A44" s="33" t="s">
        <v>451</v>
      </c>
      <c r="B44" s="3" t="s">
        <v>370</v>
      </c>
      <c r="C44" s="3" t="s">
        <v>452</v>
      </c>
      <c r="D44" s="3" t="s">
        <v>453</v>
      </c>
      <c r="E44" s="3" t="s">
        <v>373</v>
      </c>
      <c r="F44" s="3" t="s">
        <v>454</v>
      </c>
      <c r="G44" s="3" t="s">
        <v>175</v>
      </c>
      <c r="H44" s="3" t="s">
        <v>327</v>
      </c>
      <c r="I44" s="3" t="s">
        <v>185</v>
      </c>
      <c r="J44" s="3" t="s">
        <v>316</v>
      </c>
      <c r="K44" s="4">
        <v>689677427</v>
      </c>
      <c r="L44" s="4">
        <v>0</v>
      </c>
      <c r="M44" s="4">
        <v>0</v>
      </c>
      <c r="N44" s="4">
        <v>0</v>
      </c>
      <c r="O44" s="4">
        <v>689677427</v>
      </c>
      <c r="P44" s="4">
        <v>492278062.80000001</v>
      </c>
      <c r="Q44" s="5">
        <v>46148</v>
      </c>
      <c r="R44" s="5">
        <v>45634</v>
      </c>
      <c r="S44" s="5">
        <v>45633</v>
      </c>
      <c r="T44" s="5">
        <v>45637</v>
      </c>
      <c r="U44" s="4">
        <v>69.33</v>
      </c>
      <c r="V44" s="4">
        <v>71.38</v>
      </c>
      <c r="W44" s="3">
        <v>0</v>
      </c>
      <c r="X44" s="3">
        <v>0</v>
      </c>
      <c r="Y44" s="5">
        <v>45632</v>
      </c>
      <c r="Z44" s="5">
        <v>45803</v>
      </c>
      <c r="AA44" s="5">
        <v>45903</v>
      </c>
      <c r="AB44" s="5">
        <v>45903</v>
      </c>
      <c r="AC44" s="5">
        <v>45911</v>
      </c>
      <c r="AD44" s="5">
        <v>46077</v>
      </c>
      <c r="AE44" s="5"/>
      <c r="AF44" s="5"/>
      <c r="AG44" s="5">
        <v>46157</v>
      </c>
      <c r="AH44" s="3" t="s">
        <v>455</v>
      </c>
      <c r="AI44" s="3" t="s">
        <v>456</v>
      </c>
      <c r="AJ44" s="5">
        <v>46152</v>
      </c>
      <c r="AK44" s="3"/>
      <c r="AL44" s="3"/>
      <c r="AM44" s="3"/>
      <c r="AN44" s="3">
        <f t="shared" si="7"/>
        <v>0</v>
      </c>
      <c r="AO44" s="3">
        <f t="shared" si="8"/>
        <v>0</v>
      </c>
      <c r="AP44" s="3">
        <f t="shared" si="9"/>
        <v>100</v>
      </c>
      <c r="AQ44" s="3">
        <f t="shared" si="10"/>
        <v>100</v>
      </c>
      <c r="AR44" s="3">
        <v>1</v>
      </c>
      <c r="AS44" s="3"/>
      <c r="AT44" s="3">
        <f t="shared" si="11"/>
        <v>100</v>
      </c>
      <c r="AU44" s="4">
        <v>100</v>
      </c>
      <c r="AV44" s="3">
        <f t="shared" si="12"/>
        <v>90</v>
      </c>
      <c r="AW44" s="3">
        <f t="shared" si="13"/>
        <v>0</v>
      </c>
      <c r="AX44" s="3" t="s">
        <v>457</v>
      </c>
      <c r="AY44" s="7" t="s">
        <v>190</v>
      </c>
      <c r="AZ44" s="7" t="s">
        <v>20</v>
      </c>
    </row>
    <row r="45" spans="1:52" ht="70.2" customHeight="1" x14ac:dyDescent="0.3">
      <c r="A45" s="32" t="s">
        <v>458</v>
      </c>
      <c r="B45" s="3" t="s">
        <v>180</v>
      </c>
      <c r="C45" s="3" t="s">
        <v>459</v>
      </c>
      <c r="D45" s="3" t="s">
        <v>460</v>
      </c>
      <c r="E45" s="3" t="s">
        <v>461</v>
      </c>
      <c r="F45" s="3" t="s">
        <v>462</v>
      </c>
      <c r="G45" s="3" t="s">
        <v>175</v>
      </c>
      <c r="H45" s="3" t="s">
        <v>176</v>
      </c>
      <c r="I45" s="3" t="s">
        <v>463</v>
      </c>
      <c r="J45" s="3" t="s">
        <v>464</v>
      </c>
      <c r="K45" s="4">
        <v>1135083847</v>
      </c>
      <c r="L45" s="4">
        <v>10000000000</v>
      </c>
      <c r="M45" s="4">
        <v>0</v>
      </c>
      <c r="N45" s="4">
        <v>0</v>
      </c>
      <c r="O45" s="4">
        <v>11135083847</v>
      </c>
      <c r="P45" s="4">
        <v>211010310</v>
      </c>
      <c r="Q45" s="5">
        <v>45924</v>
      </c>
      <c r="R45" s="5">
        <v>45639</v>
      </c>
      <c r="S45" s="5">
        <v>45638</v>
      </c>
      <c r="T45" s="5">
        <v>45649</v>
      </c>
      <c r="U45" s="4">
        <v>1.77</v>
      </c>
      <c r="V45" s="4">
        <v>1.9</v>
      </c>
      <c r="W45" s="3">
        <v>1</v>
      </c>
      <c r="X45" s="3">
        <v>0.36</v>
      </c>
      <c r="Y45" s="5">
        <v>45637</v>
      </c>
      <c r="Z45" s="5"/>
      <c r="AA45" s="5">
        <v>45806</v>
      </c>
      <c r="AB45" s="5">
        <v>45805</v>
      </c>
      <c r="AC45" s="5">
        <v>45818</v>
      </c>
      <c r="AD45" s="5">
        <v>46354</v>
      </c>
      <c r="AE45" s="5"/>
      <c r="AF45" s="5"/>
      <c r="AG45" s="5">
        <v>46157</v>
      </c>
      <c r="AH45" s="3" t="s">
        <v>465</v>
      </c>
      <c r="AI45" s="3" t="s">
        <v>466</v>
      </c>
      <c r="AJ45" s="5">
        <v>46152</v>
      </c>
      <c r="AK45" s="3"/>
      <c r="AL45" s="3"/>
      <c r="AM45" s="3"/>
      <c r="AN45" s="3">
        <f t="shared" si="7"/>
        <v>0</v>
      </c>
      <c r="AO45" s="3">
        <f t="shared" si="8"/>
        <v>100</v>
      </c>
      <c r="AP45" s="3">
        <f t="shared" si="9"/>
        <v>100</v>
      </c>
      <c r="AQ45" s="3">
        <f t="shared" si="10"/>
        <v>100</v>
      </c>
      <c r="AR45" s="3">
        <v>0</v>
      </c>
      <c r="AS45" s="3"/>
      <c r="AT45" s="3">
        <f t="shared" si="11"/>
        <v>100</v>
      </c>
      <c r="AU45" s="4">
        <v>100</v>
      </c>
      <c r="AV45" s="3">
        <f t="shared" si="12"/>
        <v>100</v>
      </c>
      <c r="AW45" s="3">
        <f t="shared" si="13"/>
        <v>60</v>
      </c>
      <c r="AX45" s="3" t="s">
        <v>467</v>
      </c>
      <c r="AY45" s="7" t="s">
        <v>214</v>
      </c>
      <c r="AZ45" s="7" t="s">
        <v>26</v>
      </c>
    </row>
    <row r="46" spans="1:52" ht="70.2" customHeight="1" x14ac:dyDescent="0.3">
      <c r="A46" s="32" t="s">
        <v>468</v>
      </c>
      <c r="B46" s="3" t="s">
        <v>180</v>
      </c>
      <c r="C46" s="3" t="s">
        <v>469</v>
      </c>
      <c r="D46" s="3" t="s">
        <v>470</v>
      </c>
      <c r="E46" s="3" t="s">
        <v>313</v>
      </c>
      <c r="F46" s="3" t="s">
        <v>471</v>
      </c>
      <c r="G46" s="3" t="s">
        <v>472</v>
      </c>
      <c r="H46" s="3" t="s">
        <v>473</v>
      </c>
      <c r="I46" s="3" t="s">
        <v>463</v>
      </c>
      <c r="J46" s="3" t="s">
        <v>474</v>
      </c>
      <c r="K46" s="4">
        <v>2439637568.0900002</v>
      </c>
      <c r="L46" s="4">
        <v>0</v>
      </c>
      <c r="M46" s="4">
        <v>0</v>
      </c>
      <c r="N46" s="4">
        <v>0</v>
      </c>
      <c r="O46" s="4">
        <v>2439637568.0900002</v>
      </c>
      <c r="P46" s="4">
        <v>0</v>
      </c>
      <c r="Q46" s="5"/>
      <c r="R46" s="5">
        <v>45658</v>
      </c>
      <c r="S46" s="5">
        <v>46017</v>
      </c>
      <c r="T46" s="5">
        <v>45653</v>
      </c>
      <c r="U46" s="4">
        <v>0</v>
      </c>
      <c r="V46" s="4">
        <v>0</v>
      </c>
      <c r="W46" s="3"/>
      <c r="X46" s="3"/>
      <c r="Y46" s="5">
        <v>45650</v>
      </c>
      <c r="Z46" s="5">
        <v>45827</v>
      </c>
      <c r="AA46" s="5">
        <v>45827</v>
      </c>
      <c r="AB46" s="5">
        <v>45827</v>
      </c>
      <c r="AC46" s="5"/>
      <c r="AD46" s="5"/>
      <c r="AE46" s="5"/>
      <c r="AF46" s="5"/>
      <c r="AG46" s="5">
        <v>46157</v>
      </c>
      <c r="AH46" s="3" t="s">
        <v>475</v>
      </c>
      <c r="AI46" s="3" t="s">
        <v>476</v>
      </c>
      <c r="AJ46" s="5">
        <v>46152</v>
      </c>
      <c r="AK46" s="3"/>
      <c r="AL46" s="3"/>
      <c r="AM46" s="3">
        <v>-4</v>
      </c>
      <c r="AN46" s="3" t="str">
        <f t="shared" si="7"/>
        <v/>
      </c>
      <c r="AO46" s="3" t="str">
        <f t="shared" si="8"/>
        <v/>
      </c>
      <c r="AP46" s="3">
        <f t="shared" si="9"/>
        <v>100</v>
      </c>
      <c r="AQ46" s="3" t="str">
        <f t="shared" si="10"/>
        <v/>
      </c>
      <c r="AR46" s="3">
        <v>0</v>
      </c>
      <c r="AS46" s="3"/>
      <c r="AT46" s="3">
        <f t="shared" si="11"/>
        <v>100</v>
      </c>
      <c r="AU46" s="4">
        <v>0</v>
      </c>
      <c r="AV46" s="3">
        <f t="shared" si="12"/>
        <v>100</v>
      </c>
      <c r="AW46" s="3">
        <f t="shared" si="13"/>
        <v>0</v>
      </c>
      <c r="AX46" s="3" t="s">
        <v>477</v>
      </c>
      <c r="AY46" s="7" t="s">
        <v>214</v>
      </c>
      <c r="AZ46" s="7" t="s">
        <v>5</v>
      </c>
    </row>
    <row r="47" spans="1:52" ht="70.2" customHeight="1" x14ac:dyDescent="0.3">
      <c r="A47" s="33" t="s">
        <v>478</v>
      </c>
      <c r="B47" s="3" t="s">
        <v>163</v>
      </c>
      <c r="C47" s="3" t="s">
        <v>479</v>
      </c>
      <c r="D47" s="3" t="s">
        <v>480</v>
      </c>
      <c r="E47" s="3" t="s">
        <v>232</v>
      </c>
      <c r="F47" s="3" t="s">
        <v>481</v>
      </c>
      <c r="G47" s="3" t="s">
        <v>175</v>
      </c>
      <c r="H47" s="3" t="s">
        <v>176</v>
      </c>
      <c r="I47" s="3" t="s">
        <v>463</v>
      </c>
      <c r="J47" s="3" t="s">
        <v>186</v>
      </c>
      <c r="K47" s="4">
        <v>2653691597.3099999</v>
      </c>
      <c r="L47" s="4">
        <v>0</v>
      </c>
      <c r="M47" s="4">
        <v>929670814</v>
      </c>
      <c r="N47" s="4">
        <v>0</v>
      </c>
      <c r="O47" s="4">
        <v>3583362411.3099999</v>
      </c>
      <c r="P47" s="4">
        <v>1797652076</v>
      </c>
      <c r="Q47" s="5">
        <v>46112</v>
      </c>
      <c r="R47" s="5">
        <v>45658</v>
      </c>
      <c r="S47" s="5">
        <v>45652</v>
      </c>
      <c r="T47" s="5">
        <v>45653</v>
      </c>
      <c r="U47" s="4">
        <v>80.790000000000006</v>
      </c>
      <c r="V47" s="4">
        <v>67.569999999999993</v>
      </c>
      <c r="W47" s="3">
        <v>1</v>
      </c>
      <c r="X47" s="3">
        <v>0.82</v>
      </c>
      <c r="Y47" s="5">
        <v>45650</v>
      </c>
      <c r="Z47" s="5">
        <v>45798</v>
      </c>
      <c r="AA47" s="5">
        <v>45805</v>
      </c>
      <c r="AB47" s="5">
        <v>45805</v>
      </c>
      <c r="AC47" s="5">
        <v>45960</v>
      </c>
      <c r="AD47" s="5">
        <v>46139</v>
      </c>
      <c r="AE47" s="5"/>
      <c r="AF47" s="5"/>
      <c r="AG47" s="5">
        <v>46157</v>
      </c>
      <c r="AH47" s="3" t="s">
        <v>482</v>
      </c>
      <c r="AI47" s="3" t="s">
        <v>483</v>
      </c>
      <c r="AJ47" s="5">
        <v>46152</v>
      </c>
      <c r="AK47" s="3"/>
      <c r="AL47" s="3"/>
      <c r="AM47" s="3"/>
      <c r="AN47" s="3">
        <f t="shared" si="7"/>
        <v>95.65217391304347</v>
      </c>
      <c r="AO47" s="3">
        <f t="shared" si="8"/>
        <v>100</v>
      </c>
      <c r="AP47" s="3">
        <f t="shared" si="9"/>
        <v>100</v>
      </c>
      <c r="AQ47" s="3">
        <f t="shared" si="10"/>
        <v>100</v>
      </c>
      <c r="AR47" s="3">
        <v>1</v>
      </c>
      <c r="AS47" s="3"/>
      <c r="AT47" s="3">
        <f t="shared" si="11"/>
        <v>100</v>
      </c>
      <c r="AU47" s="4">
        <v>100</v>
      </c>
      <c r="AV47" s="3">
        <f t="shared" si="12"/>
        <v>90</v>
      </c>
      <c r="AW47" s="3">
        <f t="shared" si="13"/>
        <v>0</v>
      </c>
      <c r="AX47" s="3" t="s">
        <v>484</v>
      </c>
      <c r="AY47" s="7" t="s">
        <v>214</v>
      </c>
      <c r="AZ47" s="7" t="s">
        <v>39</v>
      </c>
    </row>
    <row r="48" spans="1:52" ht="70.2" customHeight="1" x14ac:dyDescent="0.3">
      <c r="A48" s="33" t="s">
        <v>485</v>
      </c>
      <c r="B48" s="3" t="s">
        <v>370</v>
      </c>
      <c r="C48" s="3" t="s">
        <v>486</v>
      </c>
      <c r="D48" s="3"/>
      <c r="E48" s="3" t="s">
        <v>373</v>
      </c>
      <c r="F48" s="3" t="s">
        <v>487</v>
      </c>
      <c r="G48" s="3" t="s">
        <v>447</v>
      </c>
      <c r="H48" s="3"/>
      <c r="I48" s="3"/>
      <c r="J48" s="3" t="s">
        <v>488</v>
      </c>
      <c r="K48" s="4">
        <v>1361249394</v>
      </c>
      <c r="L48" s="4">
        <v>0</v>
      </c>
      <c r="M48" s="4">
        <v>0</v>
      </c>
      <c r="N48" s="4">
        <v>0</v>
      </c>
      <c r="O48" s="4">
        <v>1361249394</v>
      </c>
      <c r="P48" s="4">
        <v>0</v>
      </c>
      <c r="Q48" s="5"/>
      <c r="R48" s="5">
        <v>46165</v>
      </c>
      <c r="S48" s="5">
        <v>46167</v>
      </c>
      <c r="T48" s="5">
        <v>46166</v>
      </c>
      <c r="U48" s="4">
        <v>0</v>
      </c>
      <c r="V48" s="4">
        <v>0</v>
      </c>
      <c r="W48" s="3"/>
      <c r="X48" s="3"/>
      <c r="Y48" s="5">
        <v>46121</v>
      </c>
      <c r="Z48" s="5"/>
      <c r="AA48" s="5"/>
      <c r="AB48" s="5" t="s">
        <v>490</v>
      </c>
      <c r="AC48" s="5"/>
      <c r="AD48" s="5"/>
      <c r="AE48" s="5"/>
      <c r="AF48" s="5"/>
      <c r="AG48" s="5">
        <v>46157</v>
      </c>
      <c r="AH48" s="3"/>
      <c r="AI48" s="3"/>
      <c r="AJ48" s="5"/>
      <c r="AK48" s="3">
        <v>36</v>
      </c>
      <c r="AL48" s="3"/>
      <c r="AM48" s="3"/>
      <c r="AN48" s="3" t="str">
        <f t="shared" si="7"/>
        <v/>
      </c>
      <c r="AO48" s="3" t="str">
        <f t="shared" si="8"/>
        <v/>
      </c>
      <c r="AP48" s="3">
        <f t="shared" si="9"/>
        <v>100</v>
      </c>
      <c r="AQ48" s="3" t="str">
        <f t="shared" si="10"/>
        <v/>
      </c>
      <c r="AR48" s="3"/>
      <c r="AS48" s="3">
        <v>100</v>
      </c>
      <c r="AT48" s="3" t="str">
        <f t="shared" si="11"/>
        <v/>
      </c>
      <c r="AU48" s="4"/>
      <c r="AV48" s="3">
        <f t="shared" si="12"/>
        <v>100</v>
      </c>
      <c r="AW48" s="3" t="str">
        <f t="shared" si="13"/>
        <v/>
      </c>
      <c r="AX48" s="3" t="s">
        <v>489</v>
      </c>
      <c r="AY48" s="7" t="s">
        <v>490</v>
      </c>
      <c r="AZ48" s="7" t="s">
        <v>6</v>
      </c>
    </row>
    <row r="49" spans="1:52" ht="118.8" customHeight="1" x14ac:dyDescent="0.3">
      <c r="A49" s="33" t="s">
        <v>491</v>
      </c>
      <c r="B49" s="3" t="s">
        <v>180</v>
      </c>
      <c r="C49" s="3" t="s">
        <v>492</v>
      </c>
      <c r="D49" s="3" t="s">
        <v>1069</v>
      </c>
      <c r="E49" s="3" t="s">
        <v>183</v>
      </c>
      <c r="F49" s="3" t="s">
        <v>1070</v>
      </c>
      <c r="G49" s="3" t="s">
        <v>447</v>
      </c>
      <c r="H49" s="3"/>
      <c r="I49" s="3"/>
      <c r="J49" s="3" t="s">
        <v>265</v>
      </c>
      <c r="K49" s="4">
        <v>39069417997</v>
      </c>
      <c r="L49" s="4">
        <v>0</v>
      </c>
      <c r="M49" s="4">
        <v>0</v>
      </c>
      <c r="N49" s="4">
        <v>0</v>
      </c>
      <c r="O49" s="4">
        <v>39069417997</v>
      </c>
      <c r="P49" s="4">
        <v>0</v>
      </c>
      <c r="Q49" s="5"/>
      <c r="R49" s="5"/>
      <c r="S49" s="5">
        <v>46094</v>
      </c>
      <c r="T49" s="5">
        <v>46125</v>
      </c>
      <c r="U49" s="4">
        <v>0</v>
      </c>
      <c r="V49" s="4">
        <v>0</v>
      </c>
      <c r="W49" s="3"/>
      <c r="X49" s="3"/>
      <c r="Y49" s="5">
        <v>46093</v>
      </c>
      <c r="Z49" s="5"/>
      <c r="AA49" s="5"/>
      <c r="AB49" s="5"/>
      <c r="AC49" s="5"/>
      <c r="AD49" s="5"/>
      <c r="AE49" s="5"/>
      <c r="AF49" s="5"/>
      <c r="AG49" s="5">
        <v>46157</v>
      </c>
      <c r="AH49" s="3" t="s">
        <v>493</v>
      </c>
      <c r="AI49" s="3" t="s">
        <v>494</v>
      </c>
      <c r="AJ49" s="5">
        <v>46152</v>
      </c>
      <c r="AK49" s="3">
        <v>64</v>
      </c>
      <c r="AL49" s="3"/>
      <c r="AM49" s="3"/>
      <c r="AN49" s="3" t="str">
        <f t="shared" si="7"/>
        <v/>
      </c>
      <c r="AO49" s="3" t="str">
        <f t="shared" si="8"/>
        <v/>
      </c>
      <c r="AP49" s="3">
        <f t="shared" si="9"/>
        <v>100</v>
      </c>
      <c r="AQ49" s="3" t="str">
        <f t="shared" si="10"/>
        <v/>
      </c>
      <c r="AR49" s="3"/>
      <c r="AS49" s="3">
        <v>100</v>
      </c>
      <c r="AT49" s="3">
        <f t="shared" si="11"/>
        <v>100</v>
      </c>
      <c r="AU49" s="4">
        <v>100</v>
      </c>
      <c r="AV49" s="3">
        <f t="shared" si="12"/>
        <v>100</v>
      </c>
      <c r="AW49" s="3" t="str">
        <f t="shared" si="13"/>
        <v/>
      </c>
      <c r="AX49" s="3" t="s">
        <v>1071</v>
      </c>
      <c r="AY49" s="7" t="s">
        <v>161</v>
      </c>
      <c r="AZ49" s="7" t="s">
        <v>495</v>
      </c>
    </row>
    <row r="50" spans="1:52" ht="70.2" customHeight="1" x14ac:dyDescent="0.3">
      <c r="A50" s="32" t="s">
        <v>496</v>
      </c>
      <c r="B50" s="3" t="s">
        <v>171</v>
      </c>
      <c r="C50" s="3" t="s">
        <v>497</v>
      </c>
      <c r="D50" s="3" t="s">
        <v>498</v>
      </c>
      <c r="E50" s="3" t="s">
        <v>389</v>
      </c>
      <c r="F50" s="3" t="s">
        <v>499</v>
      </c>
      <c r="G50" s="3" t="s">
        <v>175</v>
      </c>
      <c r="H50" s="3" t="s">
        <v>473</v>
      </c>
      <c r="I50" s="3" t="s">
        <v>258</v>
      </c>
      <c r="J50" s="3" t="s">
        <v>500</v>
      </c>
      <c r="K50" s="4">
        <v>15884181916</v>
      </c>
      <c r="L50" s="4">
        <v>0</v>
      </c>
      <c r="M50" s="4">
        <v>0</v>
      </c>
      <c r="N50" s="4">
        <v>0</v>
      </c>
      <c r="O50" s="4">
        <v>15884181916</v>
      </c>
      <c r="P50" s="4">
        <v>6484823040.0600004</v>
      </c>
      <c r="Q50" s="5">
        <v>46017</v>
      </c>
      <c r="R50" s="5">
        <v>45893</v>
      </c>
      <c r="S50" s="5">
        <v>45889</v>
      </c>
      <c r="T50" s="5">
        <v>45903</v>
      </c>
      <c r="U50" s="4">
        <v>40.31</v>
      </c>
      <c r="V50" s="4">
        <v>40.83</v>
      </c>
      <c r="W50" s="3"/>
      <c r="X50" s="3"/>
      <c r="Y50" s="5">
        <v>45888</v>
      </c>
      <c r="Z50" s="5">
        <v>45905</v>
      </c>
      <c r="AA50" s="5">
        <v>45929</v>
      </c>
      <c r="AB50" s="5">
        <v>45922</v>
      </c>
      <c r="AC50" s="5">
        <v>45931</v>
      </c>
      <c r="AD50" s="5">
        <v>46021</v>
      </c>
      <c r="AE50" s="5">
        <v>46021</v>
      </c>
      <c r="AF50" s="5"/>
      <c r="AG50" s="5">
        <v>46157</v>
      </c>
      <c r="AH50" s="3" t="s">
        <v>501</v>
      </c>
      <c r="AI50" s="3" t="s">
        <v>149</v>
      </c>
      <c r="AJ50" s="5">
        <v>46157</v>
      </c>
      <c r="AK50" s="3"/>
      <c r="AL50" s="3"/>
      <c r="AM50" s="3"/>
      <c r="AN50" s="3">
        <f t="shared" si="7"/>
        <v>0</v>
      </c>
      <c r="AO50" s="3">
        <f t="shared" si="8"/>
        <v>0</v>
      </c>
      <c r="AP50" s="3">
        <f t="shared" si="9"/>
        <v>100</v>
      </c>
      <c r="AQ50" s="3">
        <f t="shared" si="10"/>
        <v>100</v>
      </c>
      <c r="AR50" s="3">
        <v>0</v>
      </c>
      <c r="AS50" s="3"/>
      <c r="AT50" s="3">
        <f t="shared" si="11"/>
        <v>0</v>
      </c>
      <c r="AU50" s="4">
        <v>0</v>
      </c>
      <c r="AV50" s="3">
        <f t="shared" si="12"/>
        <v>100</v>
      </c>
      <c r="AW50" s="3">
        <f t="shared" si="13"/>
        <v>0</v>
      </c>
      <c r="AX50" s="3" t="s">
        <v>502</v>
      </c>
      <c r="AY50" s="7" t="s">
        <v>161</v>
      </c>
      <c r="AZ50" s="7" t="s">
        <v>39</v>
      </c>
    </row>
    <row r="51" spans="1:52" ht="70.2" customHeight="1" x14ac:dyDescent="0.3">
      <c r="A51" s="32" t="s">
        <v>503</v>
      </c>
      <c r="B51" s="3" t="s">
        <v>180</v>
      </c>
      <c r="C51" s="3" t="s">
        <v>504</v>
      </c>
      <c r="D51" s="3" t="s">
        <v>505</v>
      </c>
      <c r="E51" s="3" t="s">
        <v>183</v>
      </c>
      <c r="F51" s="3" t="s">
        <v>506</v>
      </c>
      <c r="G51" s="3" t="s">
        <v>175</v>
      </c>
      <c r="H51" s="3" t="s">
        <v>176</v>
      </c>
      <c r="I51" s="3" t="s">
        <v>463</v>
      </c>
      <c r="J51" s="3" t="s">
        <v>265</v>
      </c>
      <c r="K51" s="4">
        <v>79715601771.679993</v>
      </c>
      <c r="L51" s="4">
        <v>0</v>
      </c>
      <c r="M51" s="4">
        <v>0</v>
      </c>
      <c r="N51" s="4">
        <v>0</v>
      </c>
      <c r="O51" s="4">
        <v>79715601771.679993</v>
      </c>
      <c r="P51" s="4">
        <v>27947699210.400002</v>
      </c>
      <c r="Q51" s="5">
        <v>46149</v>
      </c>
      <c r="R51" s="5">
        <v>45939</v>
      </c>
      <c r="S51" s="5">
        <v>45934</v>
      </c>
      <c r="T51" s="5">
        <v>45961</v>
      </c>
      <c r="U51" s="4">
        <v>12.38</v>
      </c>
      <c r="V51" s="4">
        <v>35.06</v>
      </c>
      <c r="W51" s="3">
        <v>1</v>
      </c>
      <c r="X51" s="3">
        <v>3.47</v>
      </c>
      <c r="Y51" s="5">
        <v>45933</v>
      </c>
      <c r="Z51" s="5"/>
      <c r="AA51" s="5">
        <v>46058</v>
      </c>
      <c r="AB51" s="5">
        <v>46009</v>
      </c>
      <c r="AC51" s="5">
        <v>46064</v>
      </c>
      <c r="AD51" s="5">
        <v>46798</v>
      </c>
      <c r="AE51" s="5"/>
      <c r="AF51" s="5"/>
      <c r="AG51" s="5">
        <v>46157</v>
      </c>
      <c r="AH51" s="3" t="s">
        <v>507</v>
      </c>
      <c r="AI51" s="3" t="s">
        <v>508</v>
      </c>
      <c r="AJ51" s="5">
        <v>46152</v>
      </c>
      <c r="AK51" s="3"/>
      <c r="AL51" s="3"/>
      <c r="AM51" s="3"/>
      <c r="AN51" s="3">
        <f t="shared" si="7"/>
        <v>0</v>
      </c>
      <c r="AO51" s="3">
        <f t="shared" si="8"/>
        <v>100</v>
      </c>
      <c r="AP51" s="3">
        <f t="shared" si="9"/>
        <v>100</v>
      </c>
      <c r="AQ51" s="3">
        <f t="shared" si="10"/>
        <v>100</v>
      </c>
      <c r="AR51" s="3">
        <v>0</v>
      </c>
      <c r="AS51" s="3"/>
      <c r="AT51" s="3">
        <f t="shared" si="11"/>
        <v>100</v>
      </c>
      <c r="AU51" s="4">
        <v>100</v>
      </c>
      <c r="AV51" s="3">
        <f t="shared" si="12"/>
        <v>100</v>
      </c>
      <c r="AW51" s="3">
        <f t="shared" si="13"/>
        <v>60</v>
      </c>
      <c r="AX51" s="3" t="s">
        <v>509</v>
      </c>
      <c r="AY51" s="7" t="s">
        <v>510</v>
      </c>
      <c r="AZ51" s="7" t="s">
        <v>511</v>
      </c>
    </row>
    <row r="52" spans="1:52" ht="70.2" customHeight="1" x14ac:dyDescent="0.3">
      <c r="A52" s="32" t="s">
        <v>512</v>
      </c>
      <c r="B52" s="3" t="s">
        <v>180</v>
      </c>
      <c r="C52" s="3" t="s">
        <v>513</v>
      </c>
      <c r="D52" s="3" t="s">
        <v>514</v>
      </c>
      <c r="E52" s="3" t="s">
        <v>382</v>
      </c>
      <c r="F52" s="3" t="s">
        <v>424</v>
      </c>
      <c r="G52" s="3" t="s">
        <v>175</v>
      </c>
      <c r="H52" s="3" t="s">
        <v>176</v>
      </c>
      <c r="I52" s="3" t="s">
        <v>146</v>
      </c>
      <c r="J52" s="3" t="s">
        <v>186</v>
      </c>
      <c r="K52" s="4">
        <v>1000000435</v>
      </c>
      <c r="L52" s="4">
        <v>0</v>
      </c>
      <c r="M52" s="4">
        <v>0</v>
      </c>
      <c r="N52" s="4">
        <v>0</v>
      </c>
      <c r="O52" s="4">
        <v>1000000435</v>
      </c>
      <c r="P52" s="4">
        <v>300000130.5</v>
      </c>
      <c r="Q52" s="5">
        <v>46020</v>
      </c>
      <c r="R52" s="5">
        <v>45918</v>
      </c>
      <c r="S52" s="5">
        <v>45918</v>
      </c>
      <c r="T52" s="5">
        <v>45918</v>
      </c>
      <c r="U52" s="4">
        <v>70.739999999999995</v>
      </c>
      <c r="V52" s="4">
        <v>30</v>
      </c>
      <c r="W52" s="3">
        <v>1</v>
      </c>
      <c r="X52" s="3">
        <v>0.87</v>
      </c>
      <c r="Y52" s="5">
        <v>45912</v>
      </c>
      <c r="Z52" s="5">
        <v>45981</v>
      </c>
      <c r="AA52" s="5">
        <v>46008</v>
      </c>
      <c r="AB52" s="5">
        <v>46008</v>
      </c>
      <c r="AC52" s="5">
        <v>46009</v>
      </c>
      <c r="AD52" s="5">
        <v>46191</v>
      </c>
      <c r="AE52" s="5"/>
      <c r="AF52" s="5"/>
      <c r="AG52" s="5">
        <v>46157</v>
      </c>
      <c r="AH52" s="3" t="s">
        <v>515</v>
      </c>
      <c r="AI52" s="3" t="s">
        <v>466</v>
      </c>
      <c r="AJ52" s="5">
        <v>46152</v>
      </c>
      <c r="AK52" s="3"/>
      <c r="AL52" s="3"/>
      <c r="AM52" s="3"/>
      <c r="AN52" s="3">
        <f t="shared" si="7"/>
        <v>100</v>
      </c>
      <c r="AO52" s="3">
        <f t="shared" si="8"/>
        <v>100</v>
      </c>
      <c r="AP52" s="3">
        <f t="shared" si="9"/>
        <v>100</v>
      </c>
      <c r="AQ52" s="3">
        <f t="shared" si="10"/>
        <v>100</v>
      </c>
      <c r="AR52" s="3">
        <v>0</v>
      </c>
      <c r="AS52" s="3"/>
      <c r="AT52" s="3">
        <f t="shared" si="11"/>
        <v>100</v>
      </c>
      <c r="AU52" s="4">
        <v>100</v>
      </c>
      <c r="AV52" s="3">
        <f t="shared" si="12"/>
        <v>100</v>
      </c>
      <c r="AW52" s="3">
        <f t="shared" si="13"/>
        <v>100</v>
      </c>
      <c r="AX52" s="3" t="s">
        <v>509</v>
      </c>
      <c r="AY52" s="7" t="s">
        <v>510</v>
      </c>
      <c r="AZ52" s="7" t="s">
        <v>39</v>
      </c>
    </row>
    <row r="53" spans="1:52" ht="70.2" customHeight="1" x14ac:dyDescent="0.3">
      <c r="A53" s="32" t="s">
        <v>516</v>
      </c>
      <c r="B53" s="3" t="s">
        <v>180</v>
      </c>
      <c r="C53" s="3" t="s">
        <v>517</v>
      </c>
      <c r="D53" s="3" t="s">
        <v>518</v>
      </c>
      <c r="E53" s="3" t="s">
        <v>389</v>
      </c>
      <c r="F53" s="3" t="s">
        <v>519</v>
      </c>
      <c r="G53" s="3" t="s">
        <v>472</v>
      </c>
      <c r="H53" s="3" t="s">
        <v>473</v>
      </c>
      <c r="I53" s="3" t="s">
        <v>463</v>
      </c>
      <c r="J53" s="3" t="s">
        <v>411</v>
      </c>
      <c r="K53" s="4">
        <v>910271851.27999997</v>
      </c>
      <c r="L53" s="4">
        <v>0</v>
      </c>
      <c r="M53" s="4">
        <v>0</v>
      </c>
      <c r="N53" s="4">
        <v>0</v>
      </c>
      <c r="O53" s="4">
        <v>910271851.27999997</v>
      </c>
      <c r="P53" s="4">
        <v>0</v>
      </c>
      <c r="Q53" s="5"/>
      <c r="R53" s="5">
        <v>46002</v>
      </c>
      <c r="S53" s="5">
        <v>46009</v>
      </c>
      <c r="T53" s="5">
        <v>46009</v>
      </c>
      <c r="U53" s="4">
        <v>0</v>
      </c>
      <c r="V53" s="4">
        <v>0</v>
      </c>
      <c r="W53" s="3"/>
      <c r="X53" s="3"/>
      <c r="Y53" s="5">
        <v>46000</v>
      </c>
      <c r="Z53" s="5">
        <v>46079</v>
      </c>
      <c r="AA53" s="5">
        <v>46163</v>
      </c>
      <c r="AB53" s="34">
        <v>46163</v>
      </c>
      <c r="AC53" s="5"/>
      <c r="AD53" s="5"/>
      <c r="AE53" s="5"/>
      <c r="AF53" s="5"/>
      <c r="AG53" s="5">
        <v>46163</v>
      </c>
      <c r="AH53" s="3" t="s">
        <v>520</v>
      </c>
      <c r="AI53" s="3" t="s">
        <v>521</v>
      </c>
      <c r="AJ53" s="5">
        <v>46152</v>
      </c>
      <c r="AK53" s="3"/>
      <c r="AL53" s="3"/>
      <c r="AM53" s="3">
        <v>-6</v>
      </c>
      <c r="AN53" s="3" t="str">
        <f t="shared" si="7"/>
        <v/>
      </c>
      <c r="AO53" s="3" t="str">
        <f t="shared" si="8"/>
        <v/>
      </c>
      <c r="AP53" s="3">
        <f t="shared" si="9"/>
        <v>100</v>
      </c>
      <c r="AQ53" s="3" t="str">
        <f t="shared" si="10"/>
        <v/>
      </c>
      <c r="AR53" s="3">
        <v>0</v>
      </c>
      <c r="AS53" s="3"/>
      <c r="AT53" s="3">
        <f t="shared" si="11"/>
        <v>100</v>
      </c>
      <c r="AU53" s="4">
        <v>100</v>
      </c>
      <c r="AV53" s="3">
        <f t="shared" si="12"/>
        <v>100</v>
      </c>
      <c r="AW53" s="3">
        <f t="shared" si="13"/>
        <v>100</v>
      </c>
      <c r="AX53" s="3" t="s">
        <v>522</v>
      </c>
      <c r="AY53" s="7" t="s">
        <v>510</v>
      </c>
      <c r="AZ53" s="7" t="s">
        <v>6</v>
      </c>
    </row>
    <row r="54" spans="1:52" ht="105.6" customHeight="1" x14ac:dyDescent="0.3">
      <c r="A54" s="33" t="s">
        <v>523</v>
      </c>
      <c r="B54" s="3" t="s">
        <v>180</v>
      </c>
      <c r="C54" s="3" t="s">
        <v>524</v>
      </c>
      <c r="D54" s="3" t="s">
        <v>525</v>
      </c>
      <c r="E54" s="3" t="s">
        <v>183</v>
      </c>
      <c r="F54" s="3" t="s">
        <v>526</v>
      </c>
      <c r="G54" s="3" t="s">
        <v>447</v>
      </c>
      <c r="H54" s="3"/>
      <c r="I54" s="3"/>
      <c r="J54" s="3" t="s">
        <v>316</v>
      </c>
      <c r="K54" s="4">
        <v>9230360486</v>
      </c>
      <c r="L54" s="4">
        <v>0</v>
      </c>
      <c r="M54" s="4">
        <v>0</v>
      </c>
      <c r="N54" s="4">
        <v>0</v>
      </c>
      <c r="O54" s="4">
        <v>9230360486</v>
      </c>
      <c r="P54" s="4">
        <v>0</v>
      </c>
      <c r="Q54" s="5"/>
      <c r="R54" s="5"/>
      <c r="S54" s="5">
        <v>46083</v>
      </c>
      <c r="T54" s="5">
        <v>46084</v>
      </c>
      <c r="U54" s="4">
        <v>0</v>
      </c>
      <c r="V54" s="4">
        <v>0</v>
      </c>
      <c r="W54" s="3"/>
      <c r="X54" s="3"/>
      <c r="Y54" s="5">
        <v>46080</v>
      </c>
      <c r="Z54" s="5"/>
      <c r="AA54" s="5"/>
      <c r="AB54" s="5"/>
      <c r="AC54" s="5"/>
      <c r="AD54" s="5"/>
      <c r="AE54" s="5"/>
      <c r="AF54" s="5"/>
      <c r="AG54" s="5">
        <v>46157</v>
      </c>
      <c r="AH54" s="3" t="s">
        <v>527</v>
      </c>
      <c r="AI54" s="3" t="s">
        <v>528</v>
      </c>
      <c r="AJ54" s="5">
        <v>46152</v>
      </c>
      <c r="AK54" s="3">
        <v>77</v>
      </c>
      <c r="AL54" s="3"/>
      <c r="AM54" s="3"/>
      <c r="AN54" s="3" t="str">
        <f t="shared" si="7"/>
        <v/>
      </c>
      <c r="AO54" s="3" t="str">
        <f t="shared" si="8"/>
        <v/>
      </c>
      <c r="AP54" s="3">
        <f t="shared" si="9"/>
        <v>100</v>
      </c>
      <c r="AQ54" s="3" t="str">
        <f t="shared" si="10"/>
        <v/>
      </c>
      <c r="AR54" s="3">
        <v>0</v>
      </c>
      <c r="AS54" s="3">
        <v>100</v>
      </c>
      <c r="AT54" s="3">
        <f t="shared" si="11"/>
        <v>100</v>
      </c>
      <c r="AU54" s="4">
        <v>100</v>
      </c>
      <c r="AV54" s="3">
        <f t="shared" si="12"/>
        <v>100</v>
      </c>
      <c r="AW54" s="3" t="str">
        <f t="shared" si="13"/>
        <v/>
      </c>
      <c r="AX54" s="3" t="s">
        <v>529</v>
      </c>
      <c r="AY54" s="7" t="s">
        <v>161</v>
      </c>
      <c r="AZ54" s="7" t="s">
        <v>1072</v>
      </c>
    </row>
    <row r="55" spans="1:52" ht="70.2" customHeight="1" x14ac:dyDescent="0.3">
      <c r="A55" s="33" t="s">
        <v>530</v>
      </c>
      <c r="B55" s="3" t="s">
        <v>370</v>
      </c>
      <c r="C55" s="3" t="s">
        <v>531</v>
      </c>
      <c r="D55" s="3" t="s">
        <v>532</v>
      </c>
      <c r="E55" s="3" t="s">
        <v>373</v>
      </c>
      <c r="F55" s="3" t="s">
        <v>533</v>
      </c>
      <c r="G55" s="3" t="s">
        <v>175</v>
      </c>
      <c r="H55" s="3" t="s">
        <v>176</v>
      </c>
      <c r="I55" s="3" t="s">
        <v>146</v>
      </c>
      <c r="J55" s="3" t="s">
        <v>186</v>
      </c>
      <c r="K55" s="4">
        <v>1265672010</v>
      </c>
      <c r="L55" s="4">
        <v>0</v>
      </c>
      <c r="M55" s="4">
        <v>0</v>
      </c>
      <c r="N55" s="4">
        <v>0</v>
      </c>
      <c r="O55" s="4">
        <v>1265672010</v>
      </c>
      <c r="P55" s="4">
        <v>0</v>
      </c>
      <c r="Q55" s="5"/>
      <c r="R55" s="5">
        <v>45973</v>
      </c>
      <c r="S55" s="5">
        <v>45979</v>
      </c>
      <c r="T55" s="5">
        <v>45975</v>
      </c>
      <c r="U55" s="4">
        <v>2.83</v>
      </c>
      <c r="V55" s="4">
        <v>0</v>
      </c>
      <c r="W55" s="3">
        <v>1</v>
      </c>
      <c r="X55" s="3">
        <v>1</v>
      </c>
      <c r="Y55" s="5">
        <v>45967</v>
      </c>
      <c r="Z55" s="5">
        <v>46076</v>
      </c>
      <c r="AA55" s="5">
        <v>46094</v>
      </c>
      <c r="AB55" s="5">
        <v>46094</v>
      </c>
      <c r="AC55" s="5">
        <v>46139</v>
      </c>
      <c r="AD55" s="5">
        <v>46199</v>
      </c>
      <c r="AE55" s="5"/>
      <c r="AF55" s="5"/>
      <c r="AG55" s="5">
        <v>46157</v>
      </c>
      <c r="AH55" s="3" t="s">
        <v>534</v>
      </c>
      <c r="AI55" s="3" t="s">
        <v>535</v>
      </c>
      <c r="AJ55" s="5">
        <v>46152</v>
      </c>
      <c r="AK55" s="3"/>
      <c r="AL55" s="3"/>
      <c r="AM55" s="3"/>
      <c r="AN55" s="3">
        <f t="shared" si="7"/>
        <v>100</v>
      </c>
      <c r="AO55" s="3">
        <f t="shared" si="8"/>
        <v>100</v>
      </c>
      <c r="AP55" s="3">
        <f t="shared" si="9"/>
        <v>100</v>
      </c>
      <c r="AQ55" s="3">
        <f t="shared" si="10"/>
        <v>100</v>
      </c>
      <c r="AR55" s="3">
        <v>0</v>
      </c>
      <c r="AS55" s="3"/>
      <c r="AT55" s="3">
        <f t="shared" si="11"/>
        <v>100</v>
      </c>
      <c r="AU55" s="4">
        <v>100</v>
      </c>
      <c r="AV55" s="3">
        <f t="shared" si="12"/>
        <v>100</v>
      </c>
      <c r="AW55" s="3">
        <f t="shared" si="13"/>
        <v>100</v>
      </c>
      <c r="AX55" s="3" t="s">
        <v>536</v>
      </c>
      <c r="AY55" s="7" t="s">
        <v>510</v>
      </c>
      <c r="AZ55" s="7" t="s">
        <v>537</v>
      </c>
    </row>
    <row r="56" spans="1:52" ht="70.2" customHeight="1" x14ac:dyDescent="0.3">
      <c r="A56" s="32" t="s">
        <v>538</v>
      </c>
      <c r="B56" s="3" t="s">
        <v>370</v>
      </c>
      <c r="C56" s="3" t="s">
        <v>539</v>
      </c>
      <c r="D56" s="3" t="s">
        <v>540</v>
      </c>
      <c r="E56" s="3" t="s">
        <v>373</v>
      </c>
      <c r="F56" s="3" t="s">
        <v>541</v>
      </c>
      <c r="G56" s="3" t="s">
        <v>472</v>
      </c>
      <c r="H56" s="3" t="s">
        <v>473</v>
      </c>
      <c r="I56" s="3" t="s">
        <v>463</v>
      </c>
      <c r="J56" s="3" t="s">
        <v>542</v>
      </c>
      <c r="K56" s="4">
        <v>1631281390</v>
      </c>
      <c r="L56" s="4">
        <v>0</v>
      </c>
      <c r="M56" s="4">
        <v>41120776</v>
      </c>
      <c r="N56" s="4">
        <v>0</v>
      </c>
      <c r="O56" s="4">
        <v>1672402166</v>
      </c>
      <c r="P56" s="4">
        <v>0</v>
      </c>
      <c r="Q56" s="5"/>
      <c r="R56" s="5">
        <v>45971</v>
      </c>
      <c r="S56" s="5">
        <v>46009</v>
      </c>
      <c r="T56" s="5">
        <v>45975</v>
      </c>
      <c r="U56" s="4">
        <v>0</v>
      </c>
      <c r="V56" s="4">
        <v>0</v>
      </c>
      <c r="W56" s="3"/>
      <c r="X56" s="3"/>
      <c r="Y56" s="5">
        <v>45957</v>
      </c>
      <c r="Z56" s="5">
        <v>46051</v>
      </c>
      <c r="AA56" s="5">
        <v>46057</v>
      </c>
      <c r="AB56" s="5">
        <v>46057</v>
      </c>
      <c r="AC56" s="5"/>
      <c r="AD56" s="5"/>
      <c r="AE56" s="5"/>
      <c r="AF56" s="5"/>
      <c r="AG56" s="5">
        <v>46157</v>
      </c>
      <c r="AH56" s="3" t="s">
        <v>543</v>
      </c>
      <c r="AI56" s="3" t="s">
        <v>544</v>
      </c>
      <c r="AJ56" s="5">
        <v>46152</v>
      </c>
      <c r="AK56" s="3"/>
      <c r="AL56" s="3"/>
      <c r="AM56" s="3">
        <v>100</v>
      </c>
      <c r="AN56" s="3" t="str">
        <f t="shared" si="7"/>
        <v/>
      </c>
      <c r="AO56" s="3" t="str">
        <f t="shared" si="8"/>
        <v/>
      </c>
      <c r="AP56" s="3">
        <f t="shared" si="9"/>
        <v>100</v>
      </c>
      <c r="AQ56" s="3" t="str">
        <f t="shared" si="10"/>
        <v/>
      </c>
      <c r="AR56" s="3">
        <v>0</v>
      </c>
      <c r="AS56" s="3">
        <v>0</v>
      </c>
      <c r="AT56" s="3">
        <f t="shared" si="11"/>
        <v>100</v>
      </c>
      <c r="AU56" s="4">
        <v>0</v>
      </c>
      <c r="AV56" s="3">
        <f t="shared" si="12"/>
        <v>100</v>
      </c>
      <c r="AW56" s="3">
        <f t="shared" si="13"/>
        <v>0</v>
      </c>
      <c r="AX56" s="3" t="s">
        <v>545</v>
      </c>
      <c r="AY56" s="7" t="s">
        <v>510</v>
      </c>
      <c r="AZ56" s="7" t="s">
        <v>546</v>
      </c>
    </row>
    <row r="57" spans="1:52" ht="136.19999999999999" customHeight="1" x14ac:dyDescent="0.3">
      <c r="A57" s="33" t="s">
        <v>547</v>
      </c>
      <c r="B57" s="3" t="s">
        <v>180</v>
      </c>
      <c r="C57" s="3" t="s">
        <v>548</v>
      </c>
      <c r="D57" s="3" t="s">
        <v>549</v>
      </c>
      <c r="E57" s="3" t="s">
        <v>389</v>
      </c>
      <c r="F57" s="3" t="s">
        <v>550</v>
      </c>
      <c r="G57" s="3" t="s">
        <v>447</v>
      </c>
      <c r="H57" s="3"/>
      <c r="I57" s="3"/>
      <c r="J57" s="3" t="s">
        <v>551</v>
      </c>
      <c r="K57" s="4">
        <v>2998247290</v>
      </c>
      <c r="L57" s="4">
        <v>0</v>
      </c>
      <c r="M57" s="4">
        <v>0</v>
      </c>
      <c r="N57" s="4">
        <v>0</v>
      </c>
      <c r="O57" s="4">
        <v>2998247290</v>
      </c>
      <c r="P57" s="4">
        <v>0</v>
      </c>
      <c r="Q57" s="5"/>
      <c r="R57" s="5">
        <v>45985</v>
      </c>
      <c r="S57" s="5">
        <v>45983</v>
      </c>
      <c r="T57" s="5">
        <v>45995</v>
      </c>
      <c r="U57" s="4">
        <v>0</v>
      </c>
      <c r="V57" s="4">
        <v>0</v>
      </c>
      <c r="W57" s="3"/>
      <c r="X57" s="3"/>
      <c r="Y57" s="5">
        <v>45980</v>
      </c>
      <c r="Z57" s="5">
        <v>46120</v>
      </c>
      <c r="AA57" s="5"/>
      <c r="AB57" s="5"/>
      <c r="AC57" s="5"/>
      <c r="AD57" s="5"/>
      <c r="AE57" s="5"/>
      <c r="AF57" s="5"/>
      <c r="AG57" s="5">
        <v>46157</v>
      </c>
      <c r="AH57" s="3" t="s">
        <v>552</v>
      </c>
      <c r="AI57" s="3" t="s">
        <v>553</v>
      </c>
      <c r="AJ57" s="5">
        <v>46152</v>
      </c>
      <c r="AK57" s="3">
        <v>177</v>
      </c>
      <c r="AL57" s="3"/>
      <c r="AM57" s="3"/>
      <c r="AN57" s="3" t="str">
        <f t="shared" si="7"/>
        <v/>
      </c>
      <c r="AO57" s="3" t="str">
        <f t="shared" si="8"/>
        <v/>
      </c>
      <c r="AP57" s="3">
        <f t="shared" si="9"/>
        <v>100</v>
      </c>
      <c r="AQ57" s="3" t="str">
        <f t="shared" si="10"/>
        <v/>
      </c>
      <c r="AR57" s="3">
        <v>0</v>
      </c>
      <c r="AS57" s="3">
        <v>100</v>
      </c>
      <c r="AT57" s="3">
        <f t="shared" si="11"/>
        <v>100</v>
      </c>
      <c r="AU57" s="4">
        <v>100</v>
      </c>
      <c r="AV57" s="3">
        <f t="shared" si="12"/>
        <v>100</v>
      </c>
      <c r="AW57" s="3" t="str">
        <f t="shared" si="13"/>
        <v/>
      </c>
      <c r="AX57" s="3" t="s">
        <v>1075</v>
      </c>
      <c r="AY57" s="7" t="s">
        <v>510</v>
      </c>
      <c r="AZ57" s="7" t="s">
        <v>1073</v>
      </c>
    </row>
    <row r="58" spans="1:52" ht="99.6" customHeight="1" x14ac:dyDescent="0.3">
      <c r="A58" s="32" t="s">
        <v>554</v>
      </c>
      <c r="B58" s="3" t="s">
        <v>180</v>
      </c>
      <c r="C58" s="3" t="s">
        <v>555</v>
      </c>
      <c r="D58" s="3" t="s">
        <v>556</v>
      </c>
      <c r="E58" s="3" t="s">
        <v>313</v>
      </c>
      <c r="F58" s="3" t="s">
        <v>557</v>
      </c>
      <c r="G58" s="3" t="s">
        <v>447</v>
      </c>
      <c r="H58" s="3"/>
      <c r="I58" s="3"/>
      <c r="J58" s="3" t="s">
        <v>551</v>
      </c>
      <c r="K58" s="4">
        <v>4190286255</v>
      </c>
      <c r="L58" s="4">
        <v>0</v>
      </c>
      <c r="M58" s="4">
        <v>0</v>
      </c>
      <c r="N58" s="4">
        <v>0</v>
      </c>
      <c r="O58" s="4">
        <v>4190286255</v>
      </c>
      <c r="P58" s="4">
        <v>0</v>
      </c>
      <c r="Q58" s="5"/>
      <c r="R58" s="5"/>
      <c r="S58" s="5"/>
      <c r="T58" s="5">
        <v>46017</v>
      </c>
      <c r="U58" s="4">
        <v>0</v>
      </c>
      <c r="V58" s="4">
        <v>0</v>
      </c>
      <c r="W58" s="3"/>
      <c r="X58" s="3"/>
      <c r="Y58" s="5">
        <v>46010</v>
      </c>
      <c r="Z58" s="5">
        <v>46066</v>
      </c>
      <c r="AA58" s="5"/>
      <c r="AB58" s="5"/>
      <c r="AC58" s="5"/>
      <c r="AD58" s="5"/>
      <c r="AE58" s="5"/>
      <c r="AF58" s="5"/>
      <c r="AG58" s="5">
        <v>46157</v>
      </c>
      <c r="AH58" s="3" t="s">
        <v>552</v>
      </c>
      <c r="AI58" s="3" t="s">
        <v>558</v>
      </c>
      <c r="AJ58" s="5">
        <v>46152</v>
      </c>
      <c r="AK58" s="3">
        <v>147</v>
      </c>
      <c r="AL58" s="3"/>
      <c r="AM58" s="3"/>
      <c r="AN58" s="3" t="str">
        <f t="shared" si="7"/>
        <v/>
      </c>
      <c r="AO58" s="3" t="str">
        <f t="shared" si="8"/>
        <v/>
      </c>
      <c r="AP58" s="3">
        <f t="shared" si="9"/>
        <v>100</v>
      </c>
      <c r="AQ58" s="3" t="str">
        <f t="shared" si="10"/>
        <v/>
      </c>
      <c r="AR58" s="3">
        <v>0</v>
      </c>
      <c r="AS58" s="3">
        <v>100</v>
      </c>
      <c r="AT58" s="3">
        <f t="shared" si="11"/>
        <v>100</v>
      </c>
      <c r="AU58" s="4">
        <v>100</v>
      </c>
      <c r="AV58" s="3">
        <f t="shared" si="12"/>
        <v>100</v>
      </c>
      <c r="AW58" s="3" t="str">
        <f t="shared" si="13"/>
        <v/>
      </c>
      <c r="AX58" s="3" t="s">
        <v>1076</v>
      </c>
      <c r="AY58" s="7" t="s">
        <v>190</v>
      </c>
      <c r="AZ58" s="7" t="s">
        <v>5</v>
      </c>
    </row>
    <row r="59" spans="1:52" ht="105" customHeight="1" x14ac:dyDescent="0.3">
      <c r="A59" s="33" t="s">
        <v>559</v>
      </c>
      <c r="B59" s="3" t="s">
        <v>180</v>
      </c>
      <c r="C59" s="3" t="s">
        <v>560</v>
      </c>
      <c r="D59" s="3" t="s">
        <v>561</v>
      </c>
      <c r="E59" s="3" t="s">
        <v>183</v>
      </c>
      <c r="F59" s="3" t="s">
        <v>562</v>
      </c>
      <c r="G59" s="3" t="s">
        <v>447</v>
      </c>
      <c r="H59" s="3"/>
      <c r="I59" s="3"/>
      <c r="J59" s="3" t="s">
        <v>563</v>
      </c>
      <c r="K59" s="4">
        <v>15410127474</v>
      </c>
      <c r="L59" s="4">
        <v>0</v>
      </c>
      <c r="M59" s="4">
        <v>0</v>
      </c>
      <c r="N59" s="4">
        <v>0</v>
      </c>
      <c r="O59" s="4">
        <v>15410127474</v>
      </c>
      <c r="P59" s="4">
        <v>0</v>
      </c>
      <c r="Q59" s="5"/>
      <c r="R59" s="5"/>
      <c r="S59" s="5"/>
      <c r="T59" s="5">
        <v>46084</v>
      </c>
      <c r="U59" s="4">
        <v>0</v>
      </c>
      <c r="V59" s="4">
        <v>0</v>
      </c>
      <c r="W59" s="3"/>
      <c r="X59" s="3"/>
      <c r="Y59" s="5">
        <v>46080</v>
      </c>
      <c r="Z59" s="5"/>
      <c r="AA59" s="5"/>
      <c r="AB59" s="5"/>
      <c r="AC59" s="5"/>
      <c r="AD59" s="5"/>
      <c r="AE59" s="5"/>
      <c r="AF59" s="5"/>
      <c r="AG59" s="5">
        <v>46157</v>
      </c>
      <c r="AH59" s="3" t="s">
        <v>564</v>
      </c>
      <c r="AI59" s="3" t="s">
        <v>528</v>
      </c>
      <c r="AJ59" s="5">
        <v>46152</v>
      </c>
      <c r="AK59" s="3">
        <v>77</v>
      </c>
      <c r="AL59" s="3"/>
      <c r="AM59" s="3"/>
      <c r="AN59" s="3" t="str">
        <f t="shared" si="7"/>
        <v/>
      </c>
      <c r="AO59" s="3" t="str">
        <f t="shared" si="8"/>
        <v/>
      </c>
      <c r="AP59" s="3">
        <f t="shared" si="9"/>
        <v>100</v>
      </c>
      <c r="AQ59" s="3" t="str">
        <f t="shared" si="10"/>
        <v/>
      </c>
      <c r="AR59" s="3">
        <v>0</v>
      </c>
      <c r="AS59" s="3">
        <v>100</v>
      </c>
      <c r="AT59" s="3">
        <f t="shared" si="11"/>
        <v>100</v>
      </c>
      <c r="AU59" s="4">
        <v>100</v>
      </c>
      <c r="AV59" s="3">
        <f t="shared" si="12"/>
        <v>100</v>
      </c>
      <c r="AW59" s="3" t="str">
        <f t="shared" si="13"/>
        <v/>
      </c>
      <c r="AX59" s="3" t="s">
        <v>565</v>
      </c>
      <c r="AY59" s="7" t="s">
        <v>161</v>
      </c>
      <c r="AZ59" s="7" t="s">
        <v>1074</v>
      </c>
    </row>
  </sheetData>
  <mergeCells count="3">
    <mergeCell ref="A1:T1"/>
    <mergeCell ref="U1:AQ1"/>
    <mergeCell ref="AR1:AW1"/>
  </mergeCell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2D74-A76C-4FC9-B876-7060D9042D53}">
  <dimension ref="A1:C176"/>
  <sheetViews>
    <sheetView workbookViewId="0">
      <selection activeCell="A5" sqref="A5"/>
    </sheetView>
  </sheetViews>
  <sheetFormatPr baseColWidth="10" defaultColWidth="11.44140625" defaultRowHeight="14.4" x14ac:dyDescent="0.3"/>
  <cols>
    <col min="1" max="1" width="24" customWidth="1"/>
    <col min="2" max="2" width="30.88671875" customWidth="1"/>
    <col min="3" max="3" width="20.44140625" customWidth="1"/>
  </cols>
  <sheetData>
    <row r="1" spans="1:3" x14ac:dyDescent="0.3">
      <c r="A1" s="26" t="s">
        <v>89</v>
      </c>
      <c r="B1" s="27" t="s">
        <v>90</v>
      </c>
      <c r="C1" s="28" t="s">
        <v>95</v>
      </c>
    </row>
    <row r="2" spans="1:3" ht="26.4" x14ac:dyDescent="0.3">
      <c r="A2" s="23" t="s">
        <v>138</v>
      </c>
      <c r="B2" s="3" t="s">
        <v>566</v>
      </c>
      <c r="C2" s="25" t="s">
        <v>144</v>
      </c>
    </row>
    <row r="3" spans="1:3" x14ac:dyDescent="0.3">
      <c r="A3" s="23" t="s">
        <v>152</v>
      </c>
      <c r="B3" s="3" t="s">
        <v>567</v>
      </c>
      <c r="C3" s="25" t="s">
        <v>144</v>
      </c>
    </row>
    <row r="4" spans="1:3" ht="26.4" x14ac:dyDescent="0.3">
      <c r="A4" s="23" t="s">
        <v>162</v>
      </c>
      <c r="B4" s="3" t="s">
        <v>568</v>
      </c>
      <c r="C4" s="25" t="s">
        <v>144</v>
      </c>
    </row>
    <row r="5" spans="1:3" ht="26.4" x14ac:dyDescent="0.3">
      <c r="A5" s="23" t="s">
        <v>170</v>
      </c>
      <c r="B5" s="3" t="s">
        <v>569</v>
      </c>
      <c r="C5" s="25" t="s">
        <v>175</v>
      </c>
    </row>
    <row r="6" spans="1:3" ht="26.4" x14ac:dyDescent="0.3">
      <c r="A6" s="23" t="s">
        <v>179</v>
      </c>
      <c r="B6" s="3" t="s">
        <v>570</v>
      </c>
      <c r="C6" s="25" t="s">
        <v>144</v>
      </c>
    </row>
    <row r="7" spans="1:3" ht="26.4" x14ac:dyDescent="0.3">
      <c r="A7" s="23" t="s">
        <v>192</v>
      </c>
      <c r="B7" s="3" t="s">
        <v>569</v>
      </c>
      <c r="C7" s="25" t="s">
        <v>144</v>
      </c>
    </row>
    <row r="8" spans="1:3" ht="26.4" x14ac:dyDescent="0.3">
      <c r="A8" s="23" t="s">
        <v>199</v>
      </c>
      <c r="B8" s="3" t="s">
        <v>570</v>
      </c>
      <c r="C8" s="25" t="s">
        <v>175</v>
      </c>
    </row>
    <row r="9" spans="1:3" ht="26.4" x14ac:dyDescent="0.3">
      <c r="A9" s="23" t="s">
        <v>207</v>
      </c>
      <c r="B9" s="3" t="s">
        <v>568</v>
      </c>
      <c r="C9" s="25" t="s">
        <v>144</v>
      </c>
    </row>
    <row r="10" spans="1:3" ht="26.4" x14ac:dyDescent="0.3">
      <c r="A10" s="23" t="s">
        <v>216</v>
      </c>
      <c r="B10" s="3" t="s">
        <v>568</v>
      </c>
      <c r="C10" s="25" t="s">
        <v>144</v>
      </c>
    </row>
    <row r="11" spans="1:3" ht="26.4" x14ac:dyDescent="0.3">
      <c r="A11" s="23" t="s">
        <v>221</v>
      </c>
      <c r="B11" s="3" t="s">
        <v>570</v>
      </c>
      <c r="C11" s="25" t="s">
        <v>144</v>
      </c>
    </row>
    <row r="12" spans="1:3" ht="26.4" x14ac:dyDescent="0.3">
      <c r="A12" s="23" t="s">
        <v>229</v>
      </c>
      <c r="B12" s="3" t="s">
        <v>568</v>
      </c>
      <c r="C12" s="25" t="s">
        <v>175</v>
      </c>
    </row>
    <row r="13" spans="1:3" ht="26.4" x14ac:dyDescent="0.3">
      <c r="A13" s="23" t="s">
        <v>240</v>
      </c>
      <c r="B13" s="3" t="s">
        <v>570</v>
      </c>
      <c r="C13" s="25" t="s">
        <v>144</v>
      </c>
    </row>
    <row r="14" spans="1:3" ht="26.4" x14ac:dyDescent="0.3">
      <c r="A14" s="23" t="s">
        <v>248</v>
      </c>
      <c r="B14" s="3" t="s">
        <v>568</v>
      </c>
      <c r="C14" s="25" t="s">
        <v>175</v>
      </c>
    </row>
    <row r="15" spans="1:3" ht="26.4" x14ac:dyDescent="0.3">
      <c r="A15" s="23" t="s">
        <v>254</v>
      </c>
      <c r="B15" s="3" t="s">
        <v>568</v>
      </c>
      <c r="C15" s="25" t="s">
        <v>144</v>
      </c>
    </row>
    <row r="16" spans="1:3" ht="26.4" x14ac:dyDescent="0.3">
      <c r="A16" s="23" t="s">
        <v>261</v>
      </c>
      <c r="B16" s="3" t="s">
        <v>570</v>
      </c>
      <c r="C16" s="25" t="s">
        <v>175</v>
      </c>
    </row>
    <row r="17" spans="1:3" ht="26.4" x14ac:dyDescent="0.3">
      <c r="A17" s="23" t="s">
        <v>269</v>
      </c>
      <c r="B17" s="3" t="s">
        <v>568</v>
      </c>
      <c r="C17" s="25" t="s">
        <v>175</v>
      </c>
    </row>
    <row r="18" spans="1:3" ht="26.4" x14ac:dyDescent="0.3">
      <c r="A18" s="23" t="s">
        <v>276</v>
      </c>
      <c r="B18" s="3" t="s">
        <v>568</v>
      </c>
      <c r="C18" s="25" t="s">
        <v>175</v>
      </c>
    </row>
    <row r="19" spans="1:3" ht="26.4" x14ac:dyDescent="0.3">
      <c r="A19" s="23" t="s">
        <v>282</v>
      </c>
      <c r="B19" s="3" t="s">
        <v>568</v>
      </c>
      <c r="C19" s="25" t="s">
        <v>144</v>
      </c>
    </row>
    <row r="20" spans="1:3" ht="26.4" x14ac:dyDescent="0.3">
      <c r="A20" s="23" t="s">
        <v>287</v>
      </c>
      <c r="B20" s="3" t="s">
        <v>568</v>
      </c>
      <c r="C20" s="25" t="s">
        <v>175</v>
      </c>
    </row>
    <row r="21" spans="1:3" ht="26.4" x14ac:dyDescent="0.3">
      <c r="A21" s="23" t="s">
        <v>296</v>
      </c>
      <c r="B21" s="3" t="s">
        <v>570</v>
      </c>
      <c r="C21" s="25" t="s">
        <v>175</v>
      </c>
    </row>
    <row r="22" spans="1:3" ht="26.4" x14ac:dyDescent="0.3">
      <c r="A22" s="23" t="s">
        <v>304</v>
      </c>
      <c r="B22" s="3" t="s">
        <v>570</v>
      </c>
      <c r="C22" s="25" t="s">
        <v>308</v>
      </c>
    </row>
    <row r="23" spans="1:3" ht="26.4" x14ac:dyDescent="0.3">
      <c r="A23" s="23" t="s">
        <v>310</v>
      </c>
      <c r="B23" s="3" t="s">
        <v>566</v>
      </c>
      <c r="C23" s="25" t="s">
        <v>144</v>
      </c>
    </row>
    <row r="24" spans="1:3" ht="26.4" x14ac:dyDescent="0.3">
      <c r="A24" s="23" t="s">
        <v>318</v>
      </c>
      <c r="B24" s="3" t="s">
        <v>568</v>
      </c>
      <c r="C24" s="25" t="s">
        <v>308</v>
      </c>
    </row>
    <row r="25" spans="1:3" ht="26.4" x14ac:dyDescent="0.3">
      <c r="A25" s="23" t="s">
        <v>323</v>
      </c>
      <c r="B25" s="3" t="s">
        <v>570</v>
      </c>
      <c r="C25" s="25" t="s">
        <v>175</v>
      </c>
    </row>
    <row r="26" spans="1:3" ht="26.4" x14ac:dyDescent="0.3">
      <c r="A26" s="23" t="s">
        <v>331</v>
      </c>
      <c r="B26" s="3" t="s">
        <v>568</v>
      </c>
      <c r="C26" s="25" t="s">
        <v>144</v>
      </c>
    </row>
    <row r="27" spans="1:3" ht="26.4" x14ac:dyDescent="0.3">
      <c r="A27" s="23" t="s">
        <v>337</v>
      </c>
      <c r="B27" s="3" t="s">
        <v>570</v>
      </c>
      <c r="C27" s="25" t="s">
        <v>308</v>
      </c>
    </row>
    <row r="28" spans="1:3" ht="26.4" x14ac:dyDescent="0.3">
      <c r="A28" s="23" t="s">
        <v>344</v>
      </c>
      <c r="B28" s="3" t="s">
        <v>570</v>
      </c>
      <c r="C28" s="25" t="s">
        <v>144</v>
      </c>
    </row>
    <row r="29" spans="1:3" ht="26.4" x14ac:dyDescent="0.3">
      <c r="A29" s="23" t="s">
        <v>351</v>
      </c>
      <c r="B29" s="3" t="s">
        <v>570</v>
      </c>
      <c r="C29" s="25" t="s">
        <v>308</v>
      </c>
    </row>
    <row r="30" spans="1:3" ht="26.4" x14ac:dyDescent="0.3">
      <c r="A30" s="23" t="s">
        <v>355</v>
      </c>
      <c r="B30" s="3" t="s">
        <v>570</v>
      </c>
      <c r="C30" s="25" t="s">
        <v>308</v>
      </c>
    </row>
    <row r="31" spans="1:3" ht="26.4" x14ac:dyDescent="0.3">
      <c r="A31" s="23" t="s">
        <v>361</v>
      </c>
      <c r="B31" s="3" t="s">
        <v>570</v>
      </c>
      <c r="C31" s="25" t="s">
        <v>175</v>
      </c>
    </row>
    <row r="32" spans="1:3" ht="26.4" x14ac:dyDescent="0.3">
      <c r="A32" s="23" t="s">
        <v>369</v>
      </c>
      <c r="B32" s="3" t="s">
        <v>571</v>
      </c>
      <c r="C32" s="25" t="s">
        <v>175</v>
      </c>
    </row>
    <row r="33" spans="1:3" ht="26.4" x14ac:dyDescent="0.3">
      <c r="A33" s="23" t="s">
        <v>379</v>
      </c>
      <c r="B33" s="3" t="s">
        <v>570</v>
      </c>
      <c r="C33" s="25" t="s">
        <v>308</v>
      </c>
    </row>
    <row r="34" spans="1:3" ht="26.4" x14ac:dyDescent="0.3">
      <c r="A34" s="23" t="s">
        <v>386</v>
      </c>
      <c r="B34" s="3" t="s">
        <v>569</v>
      </c>
      <c r="C34" s="25" t="s">
        <v>308</v>
      </c>
    </row>
    <row r="35" spans="1:3" ht="26.4" x14ac:dyDescent="0.3">
      <c r="A35" s="23" t="s">
        <v>391</v>
      </c>
      <c r="B35" s="3" t="s">
        <v>570</v>
      </c>
      <c r="C35" s="25" t="s">
        <v>175</v>
      </c>
    </row>
    <row r="36" spans="1:3" ht="26.4" x14ac:dyDescent="0.3">
      <c r="A36" s="23" t="s">
        <v>399</v>
      </c>
      <c r="B36" s="3" t="s">
        <v>568</v>
      </c>
      <c r="C36" s="25" t="s">
        <v>144</v>
      </c>
    </row>
    <row r="37" spans="1:3" ht="26.4" x14ac:dyDescent="0.3">
      <c r="A37" s="23" t="s">
        <v>407</v>
      </c>
      <c r="B37" s="3" t="s">
        <v>570</v>
      </c>
      <c r="C37" s="25" t="s">
        <v>175</v>
      </c>
    </row>
    <row r="38" spans="1:3" ht="26.4" x14ac:dyDescent="0.3">
      <c r="A38" s="23" t="s">
        <v>414</v>
      </c>
      <c r="B38" s="3" t="s">
        <v>569</v>
      </c>
      <c r="C38" s="25" t="s">
        <v>144</v>
      </c>
    </row>
    <row r="39" spans="1:3" ht="26.4" x14ac:dyDescent="0.3">
      <c r="A39" s="23" t="s">
        <v>421</v>
      </c>
      <c r="B39" s="3" t="s">
        <v>570</v>
      </c>
      <c r="C39" s="25" t="s">
        <v>175</v>
      </c>
    </row>
    <row r="40" spans="1:3" ht="26.4" x14ac:dyDescent="0.3">
      <c r="A40" s="23" t="s">
        <v>429</v>
      </c>
      <c r="B40" s="3" t="s">
        <v>571</v>
      </c>
      <c r="C40" s="25" t="s">
        <v>175</v>
      </c>
    </row>
    <row r="41" spans="1:3" ht="26.4" x14ac:dyDescent="0.3">
      <c r="A41" s="23" t="s">
        <v>436</v>
      </c>
      <c r="B41" s="3" t="s">
        <v>571</v>
      </c>
      <c r="C41" s="25" t="s">
        <v>175</v>
      </c>
    </row>
    <row r="42" spans="1:3" ht="26.4" x14ac:dyDescent="0.3">
      <c r="A42" s="23" t="s">
        <v>443</v>
      </c>
      <c r="B42" s="3" t="s">
        <v>568</v>
      </c>
      <c r="C42" s="25" t="s">
        <v>447</v>
      </c>
    </row>
    <row r="43" spans="1:3" ht="26.4" x14ac:dyDescent="0.3">
      <c r="A43" s="23" t="s">
        <v>451</v>
      </c>
      <c r="B43" s="3" t="s">
        <v>571</v>
      </c>
      <c r="C43" s="25" t="s">
        <v>175</v>
      </c>
    </row>
    <row r="44" spans="1:3" ht="26.4" x14ac:dyDescent="0.3">
      <c r="A44" s="23" t="s">
        <v>458</v>
      </c>
      <c r="B44" s="3" t="s">
        <v>570</v>
      </c>
      <c r="C44" s="25" t="s">
        <v>175</v>
      </c>
    </row>
    <row r="45" spans="1:3" ht="26.4" x14ac:dyDescent="0.3">
      <c r="A45" s="23" t="s">
        <v>468</v>
      </c>
      <c r="B45" s="3" t="s">
        <v>570</v>
      </c>
      <c r="C45" s="25" t="s">
        <v>472</v>
      </c>
    </row>
    <row r="46" spans="1:3" ht="26.4" x14ac:dyDescent="0.3">
      <c r="A46" s="23" t="s">
        <v>478</v>
      </c>
      <c r="B46" s="3" t="s">
        <v>568</v>
      </c>
      <c r="C46" s="25" t="s">
        <v>175</v>
      </c>
    </row>
    <row r="47" spans="1:3" x14ac:dyDescent="0.3">
      <c r="A47" s="24" t="s">
        <v>485</v>
      </c>
      <c r="B47" s="3" t="s">
        <v>571</v>
      </c>
      <c r="C47" s="25" t="s">
        <v>447</v>
      </c>
    </row>
    <row r="48" spans="1:3" ht="26.4" x14ac:dyDescent="0.3">
      <c r="A48" s="23" t="s">
        <v>491</v>
      </c>
      <c r="B48" s="3" t="s">
        <v>570</v>
      </c>
      <c r="C48" s="25" t="s">
        <v>447</v>
      </c>
    </row>
    <row r="49" spans="1:3" ht="26.4" x14ac:dyDescent="0.3">
      <c r="A49" s="23" t="s">
        <v>496</v>
      </c>
      <c r="B49" s="3" t="s">
        <v>569</v>
      </c>
      <c r="C49" s="25" t="s">
        <v>175</v>
      </c>
    </row>
    <row r="50" spans="1:3" ht="26.4" x14ac:dyDescent="0.3">
      <c r="A50" s="23" t="s">
        <v>503</v>
      </c>
      <c r="B50" s="3" t="s">
        <v>570</v>
      </c>
      <c r="C50" s="25" t="s">
        <v>175</v>
      </c>
    </row>
    <row r="51" spans="1:3" ht="26.4" x14ac:dyDescent="0.3">
      <c r="A51" s="23" t="s">
        <v>512</v>
      </c>
      <c r="B51" s="3" t="s">
        <v>570</v>
      </c>
      <c r="C51" s="25" t="s">
        <v>175</v>
      </c>
    </row>
    <row r="52" spans="1:3" ht="26.4" x14ac:dyDescent="0.3">
      <c r="A52" s="23" t="s">
        <v>516</v>
      </c>
      <c r="B52" s="3" t="s">
        <v>570</v>
      </c>
      <c r="C52" s="25" t="s">
        <v>472</v>
      </c>
    </row>
    <row r="53" spans="1:3" ht="26.4" x14ac:dyDescent="0.3">
      <c r="A53" s="23" t="s">
        <v>523</v>
      </c>
      <c r="B53" s="3" t="s">
        <v>570</v>
      </c>
      <c r="C53" s="25" t="s">
        <v>447</v>
      </c>
    </row>
    <row r="54" spans="1:3" ht="26.4" x14ac:dyDescent="0.3">
      <c r="A54" s="23" t="s">
        <v>530</v>
      </c>
      <c r="B54" s="3" t="s">
        <v>571</v>
      </c>
      <c r="C54" s="25" t="s">
        <v>175</v>
      </c>
    </row>
    <row r="55" spans="1:3" ht="26.4" x14ac:dyDescent="0.3">
      <c r="A55" s="23" t="s">
        <v>538</v>
      </c>
      <c r="B55" s="3" t="s">
        <v>571</v>
      </c>
      <c r="C55" s="25" t="s">
        <v>472</v>
      </c>
    </row>
    <row r="56" spans="1:3" ht="26.4" x14ac:dyDescent="0.3">
      <c r="A56" s="23" t="s">
        <v>547</v>
      </c>
      <c r="B56" s="3" t="s">
        <v>570</v>
      </c>
      <c r="C56" s="25" t="s">
        <v>447</v>
      </c>
    </row>
    <row r="57" spans="1:3" ht="26.4" x14ac:dyDescent="0.3">
      <c r="A57" s="23" t="s">
        <v>554</v>
      </c>
      <c r="B57" s="3" t="s">
        <v>570</v>
      </c>
      <c r="C57" s="25" t="s">
        <v>447</v>
      </c>
    </row>
    <row r="58" spans="1:3" ht="26.4" x14ac:dyDescent="0.3">
      <c r="A58" s="23" t="s">
        <v>559</v>
      </c>
      <c r="B58" s="3" t="s">
        <v>570</v>
      </c>
      <c r="C58" s="25" t="s">
        <v>447</v>
      </c>
    </row>
    <row r="59" spans="1:3" ht="26.4" x14ac:dyDescent="0.3">
      <c r="A59" s="23" t="s">
        <v>572</v>
      </c>
      <c r="B59" s="3" t="s">
        <v>573</v>
      </c>
      <c r="C59" s="25" t="s">
        <v>144</v>
      </c>
    </row>
    <row r="60" spans="1:3" ht="26.4" x14ac:dyDescent="0.3">
      <c r="A60" s="23" t="s">
        <v>574</v>
      </c>
      <c r="B60" s="3" t="s">
        <v>573</v>
      </c>
      <c r="C60" s="25" t="s">
        <v>144</v>
      </c>
    </row>
    <row r="61" spans="1:3" ht="39.6" x14ac:dyDescent="0.3">
      <c r="A61" s="23" t="s">
        <v>575</v>
      </c>
      <c r="B61" s="3" t="s">
        <v>576</v>
      </c>
      <c r="C61" s="25" t="s">
        <v>175</v>
      </c>
    </row>
    <row r="62" spans="1:3" ht="26.4" x14ac:dyDescent="0.3">
      <c r="A62" s="23" t="s">
        <v>577</v>
      </c>
      <c r="B62" s="3" t="s">
        <v>573</v>
      </c>
      <c r="C62" s="25" t="s">
        <v>175</v>
      </c>
    </row>
    <row r="63" spans="1:3" ht="26.4" x14ac:dyDescent="0.3">
      <c r="A63" s="23" t="s">
        <v>578</v>
      </c>
      <c r="B63" s="3" t="s">
        <v>573</v>
      </c>
      <c r="C63" s="25" t="s">
        <v>175</v>
      </c>
    </row>
    <row r="64" spans="1:3" ht="39.6" x14ac:dyDescent="0.3">
      <c r="A64" s="23" t="s">
        <v>579</v>
      </c>
      <c r="B64" s="3" t="s">
        <v>576</v>
      </c>
      <c r="C64" s="25" t="s">
        <v>144</v>
      </c>
    </row>
    <row r="65" spans="1:3" ht="39.6" x14ac:dyDescent="0.3">
      <c r="A65" s="23" t="s">
        <v>580</v>
      </c>
      <c r="B65" s="3" t="s">
        <v>576</v>
      </c>
      <c r="C65" s="25" t="s">
        <v>308</v>
      </c>
    </row>
    <row r="66" spans="1:3" ht="39.6" x14ac:dyDescent="0.3">
      <c r="A66" s="23" t="s">
        <v>581</v>
      </c>
      <c r="B66" s="3" t="s">
        <v>576</v>
      </c>
      <c r="C66" s="25" t="s">
        <v>175</v>
      </c>
    </row>
    <row r="67" spans="1:3" ht="26.4" x14ac:dyDescent="0.3">
      <c r="A67" s="23" t="s">
        <v>582</v>
      </c>
      <c r="B67" s="3" t="s">
        <v>573</v>
      </c>
      <c r="C67" s="25" t="s">
        <v>175</v>
      </c>
    </row>
    <row r="68" spans="1:3" ht="39.6" x14ac:dyDescent="0.3">
      <c r="A68" s="23" t="s">
        <v>583</v>
      </c>
      <c r="B68" s="3" t="s">
        <v>584</v>
      </c>
      <c r="C68" s="25" t="s">
        <v>175</v>
      </c>
    </row>
    <row r="69" spans="1:3" ht="26.4" x14ac:dyDescent="0.3">
      <c r="A69" s="23" t="s">
        <v>585</v>
      </c>
      <c r="B69" s="3" t="s">
        <v>573</v>
      </c>
      <c r="C69" s="25" t="s">
        <v>144</v>
      </c>
    </row>
    <row r="70" spans="1:3" ht="39.6" x14ac:dyDescent="0.3">
      <c r="A70" s="23" t="s">
        <v>586</v>
      </c>
      <c r="B70" s="3" t="s">
        <v>584</v>
      </c>
      <c r="C70" s="25" t="s">
        <v>175</v>
      </c>
    </row>
    <row r="71" spans="1:3" ht="26.4" x14ac:dyDescent="0.3">
      <c r="A71" s="23" t="s">
        <v>587</v>
      </c>
      <c r="B71" s="3" t="s">
        <v>573</v>
      </c>
      <c r="C71" s="25" t="s">
        <v>175</v>
      </c>
    </row>
    <row r="72" spans="1:3" ht="39.6" x14ac:dyDescent="0.3">
      <c r="A72" s="23" t="s">
        <v>588</v>
      </c>
      <c r="B72" s="3" t="s">
        <v>584</v>
      </c>
      <c r="C72" s="25" t="s">
        <v>472</v>
      </c>
    </row>
    <row r="73" spans="1:3" ht="39.6" x14ac:dyDescent="0.3">
      <c r="A73" s="23" t="s">
        <v>589</v>
      </c>
      <c r="B73" s="3" t="s">
        <v>584</v>
      </c>
      <c r="C73" s="25" t="s">
        <v>175</v>
      </c>
    </row>
    <row r="74" spans="1:3" ht="26.4" x14ac:dyDescent="0.3">
      <c r="A74" s="23" t="s">
        <v>590</v>
      </c>
      <c r="B74" s="3" t="s">
        <v>573</v>
      </c>
      <c r="C74" s="25" t="s">
        <v>447</v>
      </c>
    </row>
    <row r="75" spans="1:3" x14ac:dyDescent="0.3">
      <c r="A75" s="23" t="s">
        <v>591</v>
      </c>
      <c r="B75" s="3" t="s">
        <v>592</v>
      </c>
      <c r="C75" s="25" t="s">
        <v>144</v>
      </c>
    </row>
    <row r="76" spans="1:3" x14ac:dyDescent="0.3">
      <c r="A76" s="23" t="s">
        <v>593</v>
      </c>
      <c r="B76" s="3" t="s">
        <v>594</v>
      </c>
      <c r="C76" s="25" t="s">
        <v>144</v>
      </c>
    </row>
    <row r="77" spans="1:3" x14ac:dyDescent="0.3">
      <c r="A77" s="23" t="s">
        <v>595</v>
      </c>
      <c r="B77" s="3" t="s">
        <v>596</v>
      </c>
      <c r="C77" s="25" t="s">
        <v>144</v>
      </c>
    </row>
    <row r="78" spans="1:3" x14ac:dyDescent="0.3">
      <c r="A78" s="23" t="s">
        <v>597</v>
      </c>
      <c r="B78" s="3" t="s">
        <v>598</v>
      </c>
      <c r="C78" s="25" t="s">
        <v>144</v>
      </c>
    </row>
    <row r="79" spans="1:3" x14ac:dyDescent="0.3">
      <c r="A79" s="23" t="s">
        <v>599</v>
      </c>
      <c r="B79" s="3" t="s">
        <v>596</v>
      </c>
      <c r="C79" s="25" t="s">
        <v>144</v>
      </c>
    </row>
    <row r="80" spans="1:3" ht="26.4" x14ac:dyDescent="0.3">
      <c r="A80" s="23" t="s">
        <v>600</v>
      </c>
      <c r="B80" s="3" t="s">
        <v>601</v>
      </c>
      <c r="C80" s="25" t="s">
        <v>175</v>
      </c>
    </row>
    <row r="81" spans="1:3" x14ac:dyDescent="0.3">
      <c r="A81" s="23" t="s">
        <v>602</v>
      </c>
      <c r="B81" s="3" t="s">
        <v>603</v>
      </c>
      <c r="C81" s="25" t="s">
        <v>144</v>
      </c>
    </row>
    <row r="82" spans="1:3" x14ac:dyDescent="0.3">
      <c r="A82" s="23" t="s">
        <v>604</v>
      </c>
      <c r="B82" s="3" t="s">
        <v>605</v>
      </c>
      <c r="C82" s="25" t="s">
        <v>144</v>
      </c>
    </row>
    <row r="83" spans="1:3" ht="52.8" x14ac:dyDescent="0.3">
      <c r="A83" s="23" t="s">
        <v>606</v>
      </c>
      <c r="B83" s="3" t="s">
        <v>607</v>
      </c>
      <c r="C83" s="25" t="s">
        <v>144</v>
      </c>
    </row>
    <row r="84" spans="1:3" x14ac:dyDescent="0.3">
      <c r="A84" s="23" t="s">
        <v>608</v>
      </c>
      <c r="B84" s="3" t="s">
        <v>609</v>
      </c>
      <c r="C84" s="25" t="s">
        <v>144</v>
      </c>
    </row>
    <row r="85" spans="1:3" x14ac:dyDescent="0.3">
      <c r="A85" s="23" t="s">
        <v>610</v>
      </c>
      <c r="B85" s="3" t="s">
        <v>611</v>
      </c>
      <c r="C85" s="25" t="s">
        <v>144</v>
      </c>
    </row>
    <row r="86" spans="1:3" ht="26.4" x14ac:dyDescent="0.3">
      <c r="A86" s="23" t="s">
        <v>612</v>
      </c>
      <c r="B86" s="3" t="s">
        <v>613</v>
      </c>
      <c r="C86" s="25" t="s">
        <v>175</v>
      </c>
    </row>
    <row r="87" spans="1:3" x14ac:dyDescent="0.3">
      <c r="A87" s="23" t="s">
        <v>614</v>
      </c>
      <c r="B87" s="3" t="s">
        <v>615</v>
      </c>
      <c r="C87" s="25" t="s">
        <v>144</v>
      </c>
    </row>
    <row r="88" spans="1:3" ht="26.4" x14ac:dyDescent="0.3">
      <c r="A88" s="23" t="s">
        <v>616</v>
      </c>
      <c r="B88" s="3" t="s">
        <v>617</v>
      </c>
      <c r="C88" s="25" t="s">
        <v>175</v>
      </c>
    </row>
    <row r="89" spans="1:3" ht="26.4" x14ac:dyDescent="0.3">
      <c r="A89" s="23" t="s">
        <v>618</v>
      </c>
      <c r="B89" s="3" t="s">
        <v>619</v>
      </c>
      <c r="C89" s="25" t="s">
        <v>175</v>
      </c>
    </row>
    <row r="90" spans="1:3" ht="26.4" x14ac:dyDescent="0.3">
      <c r="A90" s="23" t="s">
        <v>620</v>
      </c>
      <c r="B90" s="3" t="s">
        <v>621</v>
      </c>
      <c r="C90" s="25" t="s">
        <v>175</v>
      </c>
    </row>
    <row r="91" spans="1:3" ht="26.4" x14ac:dyDescent="0.3">
      <c r="A91" s="23" t="s">
        <v>622</v>
      </c>
      <c r="B91" s="3" t="s">
        <v>623</v>
      </c>
      <c r="C91" s="25" t="s">
        <v>175</v>
      </c>
    </row>
    <row r="92" spans="1:3" ht="26.4" x14ac:dyDescent="0.3">
      <c r="A92" s="23" t="s">
        <v>624</v>
      </c>
      <c r="B92" s="3" t="s">
        <v>625</v>
      </c>
      <c r="C92" s="25" t="s">
        <v>175</v>
      </c>
    </row>
    <row r="93" spans="1:3" ht="26.4" x14ac:dyDescent="0.3">
      <c r="A93" s="23" t="s">
        <v>626</v>
      </c>
      <c r="B93" s="3" t="s">
        <v>627</v>
      </c>
      <c r="C93" s="25" t="s">
        <v>175</v>
      </c>
    </row>
    <row r="94" spans="1:3" ht="26.4" x14ac:dyDescent="0.3">
      <c r="A94" s="23" t="s">
        <v>628</v>
      </c>
      <c r="B94" s="3" t="s">
        <v>629</v>
      </c>
      <c r="C94" s="25" t="s">
        <v>175</v>
      </c>
    </row>
    <row r="95" spans="1:3" ht="26.4" x14ac:dyDescent="0.3">
      <c r="A95" s="23" t="s">
        <v>630</v>
      </c>
      <c r="B95" s="3" t="s">
        <v>631</v>
      </c>
      <c r="C95" s="25" t="s">
        <v>175</v>
      </c>
    </row>
    <row r="96" spans="1:3" ht="26.4" x14ac:dyDescent="0.3">
      <c r="A96" s="23" t="s">
        <v>632</v>
      </c>
      <c r="B96" s="3" t="s">
        <v>633</v>
      </c>
      <c r="C96" s="25" t="s">
        <v>175</v>
      </c>
    </row>
    <row r="97" spans="1:3" ht="26.4" x14ac:dyDescent="0.3">
      <c r="A97" s="23" t="s">
        <v>634</v>
      </c>
      <c r="B97" s="3" t="s">
        <v>635</v>
      </c>
      <c r="C97" s="25" t="s">
        <v>175</v>
      </c>
    </row>
    <row r="98" spans="1:3" ht="26.4" x14ac:dyDescent="0.3">
      <c r="A98" s="23" t="s">
        <v>636</v>
      </c>
      <c r="B98" s="3" t="s">
        <v>637</v>
      </c>
      <c r="C98" s="25" t="s">
        <v>175</v>
      </c>
    </row>
    <row r="99" spans="1:3" ht="26.4" x14ac:dyDescent="0.3">
      <c r="A99" s="23" t="s">
        <v>638</v>
      </c>
      <c r="B99" s="3" t="s">
        <v>639</v>
      </c>
      <c r="C99" s="25" t="s">
        <v>175</v>
      </c>
    </row>
    <row r="100" spans="1:3" x14ac:dyDescent="0.3">
      <c r="A100" s="23" t="s">
        <v>640</v>
      </c>
      <c r="B100" s="3" t="s">
        <v>641</v>
      </c>
      <c r="C100" s="25" t="s">
        <v>144</v>
      </c>
    </row>
    <row r="101" spans="1:3" x14ac:dyDescent="0.3">
      <c r="A101" s="23" t="s">
        <v>642</v>
      </c>
      <c r="B101" s="3" t="s">
        <v>609</v>
      </c>
      <c r="C101" s="25" t="s">
        <v>144</v>
      </c>
    </row>
    <row r="102" spans="1:3" ht="26.4" x14ac:dyDescent="0.3">
      <c r="A102" s="23" t="s">
        <v>643</v>
      </c>
      <c r="B102" s="3" t="s">
        <v>596</v>
      </c>
      <c r="C102" s="25" t="s">
        <v>175</v>
      </c>
    </row>
    <row r="103" spans="1:3" x14ac:dyDescent="0.3">
      <c r="A103" s="23" t="s">
        <v>644</v>
      </c>
      <c r="B103" s="3" t="s">
        <v>645</v>
      </c>
      <c r="C103" s="25" t="s">
        <v>308</v>
      </c>
    </row>
    <row r="104" spans="1:3" x14ac:dyDescent="0.3">
      <c r="A104" s="23" t="s">
        <v>646</v>
      </c>
      <c r="B104" s="3" t="s">
        <v>611</v>
      </c>
      <c r="C104" s="25" t="s">
        <v>144</v>
      </c>
    </row>
    <row r="105" spans="1:3" x14ac:dyDescent="0.3">
      <c r="A105" s="23" t="s">
        <v>647</v>
      </c>
      <c r="B105" s="3" t="s">
        <v>623</v>
      </c>
      <c r="C105" s="25" t="s">
        <v>144</v>
      </c>
    </row>
    <row r="106" spans="1:3" x14ac:dyDescent="0.3">
      <c r="A106" s="23" t="s">
        <v>648</v>
      </c>
      <c r="B106" s="3" t="s">
        <v>623</v>
      </c>
      <c r="C106" s="25" t="s">
        <v>144</v>
      </c>
    </row>
    <row r="107" spans="1:3" x14ac:dyDescent="0.3">
      <c r="A107" s="23" t="s">
        <v>649</v>
      </c>
      <c r="B107" s="3" t="s">
        <v>650</v>
      </c>
      <c r="C107" s="25" t="s">
        <v>308</v>
      </c>
    </row>
    <row r="108" spans="1:3" ht="26.4" x14ac:dyDescent="0.3">
      <c r="A108" s="23" t="s">
        <v>651</v>
      </c>
      <c r="B108" s="3" t="s">
        <v>652</v>
      </c>
      <c r="C108" s="25" t="s">
        <v>175</v>
      </c>
    </row>
    <row r="109" spans="1:3" ht="26.4" x14ac:dyDescent="0.3">
      <c r="A109" s="23" t="s">
        <v>653</v>
      </c>
      <c r="B109" s="3" t="s">
        <v>654</v>
      </c>
      <c r="C109" s="25" t="s">
        <v>175</v>
      </c>
    </row>
    <row r="110" spans="1:3" x14ac:dyDescent="0.3">
      <c r="A110" s="23" t="s">
        <v>655</v>
      </c>
      <c r="B110" s="3" t="s">
        <v>656</v>
      </c>
      <c r="C110" s="25" t="s">
        <v>144</v>
      </c>
    </row>
    <row r="111" spans="1:3" ht="26.4" x14ac:dyDescent="0.3">
      <c r="A111" s="23" t="s">
        <v>657</v>
      </c>
      <c r="B111" s="3" t="s">
        <v>658</v>
      </c>
      <c r="C111" s="25" t="s">
        <v>175</v>
      </c>
    </row>
    <row r="112" spans="1:3" ht="39.6" x14ac:dyDescent="0.3">
      <c r="A112" s="23" t="s">
        <v>659</v>
      </c>
      <c r="B112" s="3" t="s">
        <v>660</v>
      </c>
      <c r="C112" s="25" t="s">
        <v>144</v>
      </c>
    </row>
    <row r="113" spans="1:3" ht="26.4" x14ac:dyDescent="0.3">
      <c r="A113" s="23" t="s">
        <v>661</v>
      </c>
      <c r="B113" s="3" t="s">
        <v>650</v>
      </c>
      <c r="C113" s="25" t="s">
        <v>175</v>
      </c>
    </row>
    <row r="114" spans="1:3" x14ac:dyDescent="0.3">
      <c r="A114" s="23" t="s">
        <v>662</v>
      </c>
      <c r="B114" s="3" t="s">
        <v>654</v>
      </c>
      <c r="C114" s="25" t="s">
        <v>308</v>
      </c>
    </row>
    <row r="115" spans="1:3" ht="26.4" x14ac:dyDescent="0.3">
      <c r="A115" s="23" t="s">
        <v>663</v>
      </c>
      <c r="B115" s="3" t="s">
        <v>639</v>
      </c>
      <c r="C115" s="25" t="s">
        <v>175</v>
      </c>
    </row>
    <row r="116" spans="1:3" ht="26.4" x14ac:dyDescent="0.3">
      <c r="A116" s="23" t="s">
        <v>664</v>
      </c>
      <c r="B116" s="3" t="s">
        <v>654</v>
      </c>
      <c r="C116" s="25" t="s">
        <v>175</v>
      </c>
    </row>
    <row r="117" spans="1:3" ht="26.4" x14ac:dyDescent="0.3">
      <c r="A117" s="23" t="s">
        <v>665</v>
      </c>
      <c r="B117" s="3" t="s">
        <v>666</v>
      </c>
      <c r="C117" s="25" t="s">
        <v>144</v>
      </c>
    </row>
    <row r="118" spans="1:3" ht="39.6" x14ac:dyDescent="0.3">
      <c r="A118" s="23" t="s">
        <v>667</v>
      </c>
      <c r="B118" s="3" t="s">
        <v>668</v>
      </c>
      <c r="C118" s="25" t="s">
        <v>144</v>
      </c>
    </row>
    <row r="119" spans="1:3" ht="26.4" x14ac:dyDescent="0.3">
      <c r="A119" s="23" t="s">
        <v>669</v>
      </c>
      <c r="B119" s="3" t="s">
        <v>631</v>
      </c>
      <c r="C119" s="25" t="s">
        <v>144</v>
      </c>
    </row>
    <row r="120" spans="1:3" ht="26.4" x14ac:dyDescent="0.3">
      <c r="A120" s="23" t="s">
        <v>670</v>
      </c>
      <c r="B120" s="3" t="s">
        <v>671</v>
      </c>
      <c r="C120" s="25" t="s">
        <v>175</v>
      </c>
    </row>
    <row r="121" spans="1:3" ht="26.4" x14ac:dyDescent="0.3">
      <c r="A121" s="23" t="s">
        <v>672</v>
      </c>
      <c r="B121" s="3" t="s">
        <v>658</v>
      </c>
      <c r="C121" s="25" t="s">
        <v>175</v>
      </c>
    </row>
    <row r="122" spans="1:3" ht="26.4" x14ac:dyDescent="0.3">
      <c r="A122" s="23" t="s">
        <v>673</v>
      </c>
      <c r="B122" s="3" t="s">
        <v>623</v>
      </c>
      <c r="C122" s="25" t="s">
        <v>175</v>
      </c>
    </row>
    <row r="123" spans="1:3" ht="26.4" x14ac:dyDescent="0.3">
      <c r="A123" s="23" t="s">
        <v>674</v>
      </c>
      <c r="B123" s="3" t="s">
        <v>675</v>
      </c>
      <c r="C123" s="25" t="s">
        <v>175</v>
      </c>
    </row>
    <row r="124" spans="1:3" ht="26.4" x14ac:dyDescent="0.3">
      <c r="A124" s="23" t="s">
        <v>676</v>
      </c>
      <c r="B124" s="3" t="s">
        <v>658</v>
      </c>
      <c r="C124" s="25" t="s">
        <v>175</v>
      </c>
    </row>
    <row r="125" spans="1:3" x14ac:dyDescent="0.3">
      <c r="A125" s="23" t="s">
        <v>677</v>
      </c>
      <c r="B125" s="3" t="s">
        <v>623</v>
      </c>
      <c r="C125" s="25" t="s">
        <v>144</v>
      </c>
    </row>
    <row r="126" spans="1:3" ht="26.4" x14ac:dyDescent="0.3">
      <c r="A126" s="23" t="s">
        <v>678</v>
      </c>
      <c r="B126" s="3" t="s">
        <v>623</v>
      </c>
      <c r="C126" s="25" t="s">
        <v>175</v>
      </c>
    </row>
    <row r="127" spans="1:3" x14ac:dyDescent="0.3">
      <c r="A127" s="23" t="s">
        <v>679</v>
      </c>
      <c r="B127" s="3" t="s">
        <v>623</v>
      </c>
      <c r="C127" s="25" t="s">
        <v>144</v>
      </c>
    </row>
    <row r="128" spans="1:3" ht="26.4" x14ac:dyDescent="0.3">
      <c r="A128" s="23" t="s">
        <v>680</v>
      </c>
      <c r="B128" s="3" t="s">
        <v>658</v>
      </c>
      <c r="C128" s="25" t="s">
        <v>175</v>
      </c>
    </row>
    <row r="129" spans="1:3" ht="26.4" x14ac:dyDescent="0.3">
      <c r="A129" s="23" t="s">
        <v>681</v>
      </c>
      <c r="B129" s="3" t="s">
        <v>682</v>
      </c>
      <c r="C129" s="25" t="s">
        <v>175</v>
      </c>
    </row>
    <row r="130" spans="1:3" x14ac:dyDescent="0.3">
      <c r="A130" s="23" t="s">
        <v>683</v>
      </c>
      <c r="B130" s="3" t="s">
        <v>639</v>
      </c>
      <c r="C130" s="25" t="s">
        <v>144</v>
      </c>
    </row>
    <row r="131" spans="1:3" ht="26.4" x14ac:dyDescent="0.3">
      <c r="A131" s="23" t="s">
        <v>684</v>
      </c>
      <c r="B131" s="3" t="s">
        <v>650</v>
      </c>
      <c r="C131" s="25" t="s">
        <v>175</v>
      </c>
    </row>
    <row r="132" spans="1:3" x14ac:dyDescent="0.3">
      <c r="A132" s="23" t="s">
        <v>685</v>
      </c>
      <c r="B132" s="3" t="s">
        <v>623</v>
      </c>
      <c r="C132" s="25" t="s">
        <v>144</v>
      </c>
    </row>
    <row r="133" spans="1:3" ht="26.4" x14ac:dyDescent="0.3">
      <c r="A133" s="23" t="s">
        <v>686</v>
      </c>
      <c r="B133" s="3" t="s">
        <v>687</v>
      </c>
      <c r="C133" s="25" t="s">
        <v>175</v>
      </c>
    </row>
    <row r="134" spans="1:3" ht="26.4" x14ac:dyDescent="0.3">
      <c r="A134" s="23" t="s">
        <v>688</v>
      </c>
      <c r="B134" s="3" t="s">
        <v>654</v>
      </c>
      <c r="C134" s="25" t="s">
        <v>175</v>
      </c>
    </row>
    <row r="135" spans="1:3" ht="26.4" x14ac:dyDescent="0.3">
      <c r="A135" s="23" t="s">
        <v>689</v>
      </c>
      <c r="B135" s="3" t="s">
        <v>690</v>
      </c>
      <c r="C135" s="25" t="s">
        <v>175</v>
      </c>
    </row>
    <row r="136" spans="1:3" ht="26.4" x14ac:dyDescent="0.3">
      <c r="A136" s="23" t="s">
        <v>691</v>
      </c>
      <c r="B136" s="3" t="s">
        <v>594</v>
      </c>
      <c r="C136" s="25" t="s">
        <v>175</v>
      </c>
    </row>
    <row r="137" spans="1:3" ht="26.4" x14ac:dyDescent="0.3">
      <c r="A137" s="23" t="s">
        <v>692</v>
      </c>
      <c r="B137" s="3" t="s">
        <v>625</v>
      </c>
      <c r="C137" s="25" t="s">
        <v>175</v>
      </c>
    </row>
    <row r="138" spans="1:3" ht="26.4" x14ac:dyDescent="0.3">
      <c r="A138" s="23" t="s">
        <v>693</v>
      </c>
      <c r="B138" s="3" t="s">
        <v>619</v>
      </c>
      <c r="C138" s="25" t="s">
        <v>175</v>
      </c>
    </row>
    <row r="139" spans="1:3" ht="26.4" x14ac:dyDescent="0.3">
      <c r="A139" s="23" t="s">
        <v>694</v>
      </c>
      <c r="B139" s="3" t="s">
        <v>658</v>
      </c>
      <c r="C139" s="25" t="s">
        <v>175</v>
      </c>
    </row>
    <row r="140" spans="1:3" ht="26.4" x14ac:dyDescent="0.3">
      <c r="A140" s="23" t="s">
        <v>695</v>
      </c>
      <c r="B140" s="3" t="s">
        <v>631</v>
      </c>
      <c r="C140" s="25" t="s">
        <v>175</v>
      </c>
    </row>
    <row r="141" spans="1:3" ht="26.4" x14ac:dyDescent="0.3">
      <c r="A141" s="23" t="s">
        <v>696</v>
      </c>
      <c r="B141" s="3" t="s">
        <v>635</v>
      </c>
      <c r="C141" s="25" t="s">
        <v>175</v>
      </c>
    </row>
    <row r="142" spans="1:3" ht="26.4" x14ac:dyDescent="0.3">
      <c r="A142" s="23" t="s">
        <v>697</v>
      </c>
      <c r="B142" s="3" t="s">
        <v>698</v>
      </c>
      <c r="C142" s="25" t="s">
        <v>175</v>
      </c>
    </row>
    <row r="143" spans="1:3" ht="26.4" x14ac:dyDescent="0.3">
      <c r="A143" s="23" t="s">
        <v>699</v>
      </c>
      <c r="B143" s="3" t="s">
        <v>658</v>
      </c>
      <c r="C143" s="25" t="s">
        <v>175</v>
      </c>
    </row>
    <row r="144" spans="1:3" x14ac:dyDescent="0.3">
      <c r="A144" s="23" t="s">
        <v>700</v>
      </c>
      <c r="B144" s="3" t="s">
        <v>658</v>
      </c>
      <c r="C144" s="25" t="s">
        <v>308</v>
      </c>
    </row>
    <row r="145" spans="1:3" ht="26.4" x14ac:dyDescent="0.3">
      <c r="A145" s="23" t="s">
        <v>701</v>
      </c>
      <c r="B145" s="3" t="s">
        <v>639</v>
      </c>
      <c r="C145" s="25" t="s">
        <v>175</v>
      </c>
    </row>
    <row r="146" spans="1:3" x14ac:dyDescent="0.3">
      <c r="A146" s="23" t="s">
        <v>702</v>
      </c>
      <c r="B146" s="3" t="s">
        <v>623</v>
      </c>
      <c r="C146" s="25" t="s">
        <v>144</v>
      </c>
    </row>
    <row r="147" spans="1:3" x14ac:dyDescent="0.3">
      <c r="A147" s="23" t="s">
        <v>703</v>
      </c>
      <c r="B147" s="3" t="s">
        <v>623</v>
      </c>
      <c r="C147" s="25" t="s">
        <v>144</v>
      </c>
    </row>
    <row r="148" spans="1:3" x14ac:dyDescent="0.3">
      <c r="A148" s="23" t="s">
        <v>704</v>
      </c>
      <c r="B148" s="3" t="s">
        <v>611</v>
      </c>
      <c r="C148" s="25" t="s">
        <v>144</v>
      </c>
    </row>
    <row r="149" spans="1:3" ht="26.4" x14ac:dyDescent="0.3">
      <c r="A149" s="23" t="s">
        <v>705</v>
      </c>
      <c r="B149" s="3" t="s">
        <v>706</v>
      </c>
      <c r="C149" s="25" t="s">
        <v>447</v>
      </c>
    </row>
    <row r="150" spans="1:3" ht="26.4" x14ac:dyDescent="0.3">
      <c r="A150" s="23" t="s">
        <v>707</v>
      </c>
      <c r="B150" s="3" t="s">
        <v>611</v>
      </c>
      <c r="C150" s="25" t="s">
        <v>175</v>
      </c>
    </row>
    <row r="151" spans="1:3" x14ac:dyDescent="0.3">
      <c r="A151" s="23" t="s">
        <v>708</v>
      </c>
      <c r="B151" s="3" t="s">
        <v>709</v>
      </c>
      <c r="C151" s="25" t="s">
        <v>144</v>
      </c>
    </row>
    <row r="152" spans="1:3" ht="26.4" x14ac:dyDescent="0.3">
      <c r="A152" s="23" t="s">
        <v>710</v>
      </c>
      <c r="B152" s="3" t="s">
        <v>711</v>
      </c>
      <c r="C152" s="25" t="s">
        <v>175</v>
      </c>
    </row>
    <row r="153" spans="1:3" ht="26.4" x14ac:dyDescent="0.3">
      <c r="A153" s="23" t="s">
        <v>712</v>
      </c>
      <c r="B153" s="3" t="s">
        <v>709</v>
      </c>
      <c r="C153" s="25" t="s">
        <v>175</v>
      </c>
    </row>
    <row r="154" spans="1:3" ht="26.4" x14ac:dyDescent="0.3">
      <c r="A154" s="23" t="s">
        <v>713</v>
      </c>
      <c r="B154" s="3" t="s">
        <v>623</v>
      </c>
      <c r="C154" s="25" t="s">
        <v>175</v>
      </c>
    </row>
    <row r="155" spans="1:3" ht="26.4" x14ac:dyDescent="0.3">
      <c r="A155" s="23" t="s">
        <v>714</v>
      </c>
      <c r="B155" s="3" t="s">
        <v>715</v>
      </c>
      <c r="C155" s="25" t="s">
        <v>144</v>
      </c>
    </row>
    <row r="156" spans="1:3" ht="26.4" x14ac:dyDescent="0.3">
      <c r="A156" s="23" t="s">
        <v>716</v>
      </c>
      <c r="B156" s="3" t="s">
        <v>717</v>
      </c>
      <c r="C156" s="25" t="s">
        <v>175</v>
      </c>
    </row>
    <row r="157" spans="1:3" ht="26.4" x14ac:dyDescent="0.3">
      <c r="A157" s="23" t="s">
        <v>718</v>
      </c>
      <c r="B157" s="3" t="s">
        <v>719</v>
      </c>
      <c r="C157" s="25" t="s">
        <v>144</v>
      </c>
    </row>
    <row r="158" spans="1:3" ht="26.4" x14ac:dyDescent="0.3">
      <c r="A158" s="23" t="s">
        <v>720</v>
      </c>
      <c r="B158" s="3" t="s">
        <v>721</v>
      </c>
      <c r="C158" s="25" t="s">
        <v>175</v>
      </c>
    </row>
    <row r="159" spans="1:3" ht="26.4" x14ac:dyDescent="0.3">
      <c r="A159" s="23" t="s">
        <v>722</v>
      </c>
      <c r="B159" s="3" t="s">
        <v>723</v>
      </c>
      <c r="C159" s="25" t="s">
        <v>175</v>
      </c>
    </row>
    <row r="160" spans="1:3" ht="39.6" x14ac:dyDescent="0.3">
      <c r="A160" s="23" t="s">
        <v>724</v>
      </c>
      <c r="B160" s="3" t="s">
        <v>725</v>
      </c>
      <c r="C160" s="25" t="s">
        <v>175</v>
      </c>
    </row>
    <row r="161" spans="1:3" ht="52.8" x14ac:dyDescent="0.3">
      <c r="A161" s="23" t="s">
        <v>726</v>
      </c>
      <c r="B161" s="3" t="s">
        <v>727</v>
      </c>
      <c r="C161" s="25" t="s">
        <v>175</v>
      </c>
    </row>
    <row r="162" spans="1:3" ht="26.4" x14ac:dyDescent="0.3">
      <c r="A162" s="23" t="s">
        <v>728</v>
      </c>
      <c r="B162" s="3" t="s">
        <v>654</v>
      </c>
      <c r="C162" s="25" t="s">
        <v>175</v>
      </c>
    </row>
    <row r="163" spans="1:3" ht="26.4" x14ac:dyDescent="0.3">
      <c r="A163" s="23" t="s">
        <v>729</v>
      </c>
      <c r="B163" s="3" t="s">
        <v>687</v>
      </c>
      <c r="C163" s="25" t="s">
        <v>175</v>
      </c>
    </row>
    <row r="164" spans="1:3" ht="26.4" x14ac:dyDescent="0.3">
      <c r="A164" s="23" t="s">
        <v>730</v>
      </c>
      <c r="B164" s="3" t="s">
        <v>617</v>
      </c>
      <c r="C164" s="25" t="s">
        <v>175</v>
      </c>
    </row>
    <row r="165" spans="1:3" ht="26.4" x14ac:dyDescent="0.3">
      <c r="A165" s="23" t="s">
        <v>731</v>
      </c>
      <c r="B165" s="3" t="s">
        <v>658</v>
      </c>
      <c r="C165" s="25" t="s">
        <v>175</v>
      </c>
    </row>
    <row r="166" spans="1:3" ht="52.8" x14ac:dyDescent="0.3">
      <c r="A166" s="23" t="s">
        <v>732</v>
      </c>
      <c r="B166" s="3" t="s">
        <v>733</v>
      </c>
      <c r="C166" s="25" t="s">
        <v>175</v>
      </c>
    </row>
    <row r="167" spans="1:3" ht="26.4" x14ac:dyDescent="0.3">
      <c r="A167" s="23" t="s">
        <v>734</v>
      </c>
      <c r="B167" s="3" t="s">
        <v>735</v>
      </c>
      <c r="C167" s="25" t="s">
        <v>175</v>
      </c>
    </row>
    <row r="168" spans="1:3" x14ac:dyDescent="0.3">
      <c r="A168" s="23" t="s">
        <v>736</v>
      </c>
      <c r="B168" s="3" t="s">
        <v>737</v>
      </c>
      <c r="C168" s="25" t="s">
        <v>447</v>
      </c>
    </row>
    <row r="169" spans="1:3" ht="52.8" x14ac:dyDescent="0.3">
      <c r="A169" s="23" t="s">
        <v>738</v>
      </c>
      <c r="B169" s="3" t="s">
        <v>739</v>
      </c>
      <c r="C169" s="25" t="s">
        <v>175</v>
      </c>
    </row>
    <row r="170" spans="1:3" ht="26.4" x14ac:dyDescent="0.3">
      <c r="A170" s="23" t="s">
        <v>740</v>
      </c>
      <c r="B170" s="3" t="s">
        <v>623</v>
      </c>
      <c r="C170" s="25" t="s">
        <v>175</v>
      </c>
    </row>
    <row r="171" spans="1:3" x14ac:dyDescent="0.3">
      <c r="A171" s="23" t="s">
        <v>741</v>
      </c>
      <c r="B171" s="3" t="s">
        <v>654</v>
      </c>
      <c r="C171" s="25" t="s">
        <v>308</v>
      </c>
    </row>
    <row r="172" spans="1:3" ht="26.4" x14ac:dyDescent="0.3">
      <c r="A172" s="23" t="s">
        <v>742</v>
      </c>
      <c r="B172" s="3" t="s">
        <v>743</v>
      </c>
      <c r="C172" s="25" t="s">
        <v>308</v>
      </c>
    </row>
    <row r="173" spans="1:3" x14ac:dyDescent="0.3">
      <c r="A173" s="23" t="s">
        <v>744</v>
      </c>
      <c r="B173" s="3" t="s">
        <v>613</v>
      </c>
      <c r="C173" s="25" t="s">
        <v>308</v>
      </c>
    </row>
    <row r="174" spans="1:3" x14ac:dyDescent="0.3">
      <c r="A174" s="23" t="s">
        <v>745</v>
      </c>
      <c r="B174" s="3" t="s">
        <v>596</v>
      </c>
      <c r="C174" s="25" t="s">
        <v>308</v>
      </c>
    </row>
    <row r="175" spans="1:3" x14ac:dyDescent="0.3">
      <c r="A175" s="23" t="s">
        <v>746</v>
      </c>
      <c r="B175" s="3" t="s">
        <v>735</v>
      </c>
      <c r="C175" s="25" t="s">
        <v>308</v>
      </c>
    </row>
    <row r="176" spans="1:3" ht="52.8" x14ac:dyDescent="0.3">
      <c r="A176" s="29" t="s">
        <v>747</v>
      </c>
      <c r="B176" s="30" t="s">
        <v>739</v>
      </c>
      <c r="C176" s="31" t="s">
        <v>748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O18"/>
  <sheetViews>
    <sheetView tabSelected="1" topLeftCell="AD1" workbookViewId="0">
      <selection activeCell="AH3" sqref="AH3"/>
    </sheetView>
  </sheetViews>
  <sheetFormatPr baseColWidth="10" defaultColWidth="8.88671875" defaultRowHeight="14.4" x14ac:dyDescent="0.3"/>
  <cols>
    <col min="1" max="3" width="25.6640625" customWidth="1"/>
    <col min="4" max="4" width="34.33203125" customWidth="1"/>
    <col min="5" max="30" width="25.6640625" customWidth="1"/>
    <col min="31" max="31" width="25.6640625" hidden="1" customWidth="1"/>
    <col min="32" max="36" width="25.6640625" customWidth="1"/>
    <col min="37" max="37" width="25.6640625" hidden="1" customWidth="1"/>
    <col min="38" max="39" width="25.6640625" customWidth="1"/>
    <col min="40" max="41" width="23.6640625" customWidth="1"/>
  </cols>
  <sheetData>
    <row r="1" spans="1:41" ht="40.200000000000003" customHeight="1" x14ac:dyDescent="0.3">
      <c r="A1" s="35" t="s">
        <v>86</v>
      </c>
      <c r="B1" s="35"/>
      <c r="C1" s="35"/>
      <c r="D1" s="35"/>
      <c r="E1" s="35"/>
      <c r="F1" s="35"/>
      <c r="G1" s="35"/>
      <c r="H1" s="35"/>
      <c r="I1" s="35"/>
      <c r="J1" s="35"/>
      <c r="K1" s="35"/>
      <c r="L1" s="35"/>
      <c r="M1" s="35"/>
      <c r="N1" s="35"/>
      <c r="O1" s="36" t="s">
        <v>87</v>
      </c>
      <c r="P1" s="36"/>
      <c r="Q1" s="36"/>
      <c r="R1" s="36"/>
      <c r="S1" s="36"/>
      <c r="T1" s="36"/>
      <c r="U1" s="36"/>
      <c r="V1" s="36"/>
      <c r="W1" s="36"/>
      <c r="X1" s="36"/>
      <c r="Y1" s="36"/>
      <c r="Z1" s="36"/>
      <c r="AA1" s="36"/>
      <c r="AB1" s="36"/>
      <c r="AC1" s="36"/>
      <c r="AD1" s="36"/>
      <c r="AE1" s="36"/>
      <c r="AF1" s="36"/>
      <c r="AG1" s="36"/>
      <c r="AH1" s="35" t="s">
        <v>88</v>
      </c>
      <c r="AI1" s="35"/>
      <c r="AJ1" s="35"/>
      <c r="AK1" s="35"/>
      <c r="AL1" s="35"/>
      <c r="AM1" s="35"/>
    </row>
    <row r="2" spans="1:41" ht="70.2" customHeight="1" x14ac:dyDescent="0.3">
      <c r="A2" s="1" t="s">
        <v>89</v>
      </c>
      <c r="B2" s="1" t="s">
        <v>749</v>
      </c>
      <c r="C2" s="1" t="s">
        <v>750</v>
      </c>
      <c r="D2" s="1" t="s">
        <v>751</v>
      </c>
      <c r="E2" s="1" t="s">
        <v>93</v>
      </c>
      <c r="F2" s="1" t="s">
        <v>752</v>
      </c>
      <c r="G2" s="1" t="s">
        <v>95</v>
      </c>
      <c r="H2" s="1" t="s">
        <v>96</v>
      </c>
      <c r="I2" s="1" t="s">
        <v>99</v>
      </c>
      <c r="J2" s="1" t="s">
        <v>101</v>
      </c>
      <c r="K2" s="1" t="s">
        <v>753</v>
      </c>
      <c r="L2" s="1" t="s">
        <v>106</v>
      </c>
      <c r="M2" s="1" t="s">
        <v>107</v>
      </c>
      <c r="N2" s="1" t="s">
        <v>108</v>
      </c>
      <c r="O2" s="2" t="s">
        <v>754</v>
      </c>
      <c r="P2" s="2" t="s">
        <v>110</v>
      </c>
      <c r="Q2" s="2" t="s">
        <v>111</v>
      </c>
      <c r="R2" s="2" t="s">
        <v>112</v>
      </c>
      <c r="S2" s="2" t="s">
        <v>113</v>
      </c>
      <c r="T2" s="2" t="s">
        <v>114</v>
      </c>
      <c r="U2" s="2" t="s">
        <v>1078</v>
      </c>
      <c r="V2" s="2" t="s">
        <v>1079</v>
      </c>
      <c r="W2" s="2" t="s">
        <v>115</v>
      </c>
      <c r="X2" s="2" t="s">
        <v>116</v>
      </c>
      <c r="Y2" s="2" t="s">
        <v>1077</v>
      </c>
      <c r="Z2" s="2" t="s">
        <v>118</v>
      </c>
      <c r="AA2" s="2" t="s">
        <v>122</v>
      </c>
      <c r="AB2" s="2" t="s">
        <v>123</v>
      </c>
      <c r="AC2" s="2" t="s">
        <v>124</v>
      </c>
      <c r="AD2" s="2" t="s">
        <v>125</v>
      </c>
      <c r="AE2" s="2" t="s">
        <v>126</v>
      </c>
      <c r="AF2" s="2" t="s">
        <v>127</v>
      </c>
      <c r="AG2" s="2" t="s">
        <v>128</v>
      </c>
      <c r="AH2" s="2" t="s">
        <v>129</v>
      </c>
      <c r="AI2" s="1" t="s">
        <v>130</v>
      </c>
      <c r="AJ2" s="1" t="s">
        <v>131</v>
      </c>
      <c r="AK2" s="1" t="s">
        <v>132</v>
      </c>
      <c r="AL2" s="1" t="s">
        <v>133</v>
      </c>
      <c r="AM2" s="1" t="s">
        <v>134</v>
      </c>
      <c r="AN2" s="1" t="s">
        <v>135</v>
      </c>
      <c r="AO2" s="6" t="s">
        <v>137</v>
      </c>
    </row>
    <row r="3" spans="1:41" ht="70.2" customHeight="1" x14ac:dyDescent="0.3">
      <c r="A3" s="3" t="s">
        <v>572</v>
      </c>
      <c r="B3" s="3" t="s">
        <v>573</v>
      </c>
      <c r="C3" s="3" t="s">
        <v>755</v>
      </c>
      <c r="D3" s="3" t="s">
        <v>756</v>
      </c>
      <c r="E3" s="3" t="s">
        <v>382</v>
      </c>
      <c r="F3" s="3" t="s">
        <v>757</v>
      </c>
      <c r="G3" s="3" t="s">
        <v>144</v>
      </c>
      <c r="H3" s="3" t="s">
        <v>758</v>
      </c>
      <c r="I3" s="4">
        <v>2006938345.6700001</v>
      </c>
      <c r="J3" s="4">
        <v>398005572.76999998</v>
      </c>
      <c r="K3" s="4">
        <v>2404943918.4400001</v>
      </c>
      <c r="L3" s="5">
        <v>44196</v>
      </c>
      <c r="M3" s="5">
        <v>44197</v>
      </c>
      <c r="N3" s="5">
        <v>44326</v>
      </c>
      <c r="O3" s="4">
        <v>100.01</v>
      </c>
      <c r="P3" s="4">
        <v>84.26</v>
      </c>
      <c r="Q3" s="3"/>
      <c r="R3" s="3"/>
      <c r="S3" s="5">
        <v>44193</v>
      </c>
      <c r="T3" s="5">
        <v>44412</v>
      </c>
      <c r="U3" s="5">
        <v>44342</v>
      </c>
      <c r="V3" s="5"/>
      <c r="W3" s="5">
        <v>44593</v>
      </c>
      <c r="X3" s="5"/>
      <c r="Y3" s="5"/>
      <c r="Z3" s="5">
        <v>46127</v>
      </c>
      <c r="AA3" s="3"/>
      <c r="AB3" s="3"/>
      <c r="AC3" s="3"/>
      <c r="AD3" s="3"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3"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3">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3" t="str">
        <f t="shared" ref="AG3:AG18" si="3">IF(AND($O3&gt;$P3,$G3="CONTRATADO EN EJECUCIÓN"),100,IF(AND($P3&gt;$O3,($P3-$O3)&gt;50,$G3="CONTRATADO EN EJECUCIÓN"),0,IF(AND($P3&gt;$O3,($P3-$O3)&lt;=50,$P3&lt;=60),100,IF(AND($P3&gt;$O3,($P3-$O3)&lt;=50,$P3&gt;60),$AF3,""))))</f>
        <v/>
      </c>
      <c r="AH3" s="3">
        <v>2</v>
      </c>
      <c r="AI3" s="3"/>
      <c r="AJ3" s="3"/>
      <c r="AK3" s="3"/>
      <c r="AL3" s="3">
        <f t="shared" ref="AL3:AL18" si="4">IF($AH3=0,100,IF($AH3=1,90,IF($AH3=2,75,IF($AH3=3,60,IF($AH3=4,50,IF($AH3=5,25,IF($AH3&gt;=6,0,"")))))))</f>
        <v>75</v>
      </c>
      <c r="AM3" s="3" t="str">
        <f t="shared" ref="AM3:AM18" si="5">IFERROR(IF($G3="CONTRATADO EN EJECUCIÓN",IF(AND(ISNUMBER($X3),ISNUMBER($Z3),$X3&lt;$Z3),0,IF($AH3&gt;=1,(IFERROR(IF(ISNUMBER($AJ3),($AD3*0.4+$AE3*0.2+$AG3*0.4),""),""))*$AL3/100,IFERROR(IF(ISNUMBER($AJ3),($AD3*0.4+$AE3*0.2+$AG3*0.4),""),""))),IF($G3="CONTRATADO SIN ACTA DE INICIO",IF(AND($Z3-$V3&gt;=0,$Z3-$V3&lt;=30),100,0),"")),"")</f>
        <v/>
      </c>
      <c r="AN3" s="3" t="s">
        <v>759</v>
      </c>
      <c r="AO3" s="7" t="s">
        <v>5</v>
      </c>
    </row>
    <row r="4" spans="1:41" ht="70.2" customHeight="1" x14ac:dyDescent="0.3">
      <c r="A4" s="3" t="s">
        <v>574</v>
      </c>
      <c r="B4" s="3" t="s">
        <v>573</v>
      </c>
      <c r="C4" s="3" t="s">
        <v>760</v>
      </c>
      <c r="D4" s="3" t="s">
        <v>761</v>
      </c>
      <c r="E4" s="3" t="s">
        <v>382</v>
      </c>
      <c r="F4" s="3" t="s">
        <v>762</v>
      </c>
      <c r="G4" s="3" t="s">
        <v>144</v>
      </c>
      <c r="H4" s="3" t="s">
        <v>758</v>
      </c>
      <c r="I4" s="4">
        <v>1295118639.0699999</v>
      </c>
      <c r="J4" s="4">
        <v>143902071.00999999</v>
      </c>
      <c r="K4" s="4">
        <v>1439020710.0799999</v>
      </c>
      <c r="L4" s="5">
        <v>44196</v>
      </c>
      <c r="M4" s="5">
        <v>44197</v>
      </c>
      <c r="N4" s="5">
        <v>44326</v>
      </c>
      <c r="O4" s="4">
        <v>100</v>
      </c>
      <c r="P4" s="4">
        <v>95.4</v>
      </c>
      <c r="Q4" s="3"/>
      <c r="R4" s="3"/>
      <c r="S4" s="5">
        <v>44193</v>
      </c>
      <c r="T4" s="5">
        <v>44412</v>
      </c>
      <c r="U4" s="5">
        <v>44462</v>
      </c>
      <c r="V4" s="5"/>
      <c r="W4" s="5">
        <v>44567</v>
      </c>
      <c r="X4" s="5"/>
      <c r="Y4" s="5"/>
      <c r="Z4" s="5">
        <v>46127</v>
      </c>
      <c r="AA4" s="3"/>
      <c r="AB4" s="3"/>
      <c r="AC4" s="3"/>
      <c r="AD4" s="3" t="str">
        <f t="shared" si="0"/>
        <v/>
      </c>
      <c r="AE4" s="3" t="str">
        <f t="shared" si="1"/>
        <v/>
      </c>
      <c r="AF4" s="3">
        <f t="shared" si="2"/>
        <v>100</v>
      </c>
      <c r="AG4" s="3" t="str">
        <f t="shared" si="3"/>
        <v/>
      </c>
      <c r="AH4" s="3">
        <v>0</v>
      </c>
      <c r="AI4" s="3"/>
      <c r="AJ4" s="3"/>
      <c r="AK4" s="3"/>
      <c r="AL4" s="3">
        <f t="shared" si="4"/>
        <v>100</v>
      </c>
      <c r="AM4" s="3" t="str">
        <f t="shared" si="5"/>
        <v/>
      </c>
      <c r="AN4" s="3" t="s">
        <v>759</v>
      </c>
      <c r="AO4" s="7" t="s">
        <v>5</v>
      </c>
    </row>
    <row r="5" spans="1:41" ht="70.2" customHeight="1" x14ac:dyDescent="0.3">
      <c r="A5" s="3" t="s">
        <v>575</v>
      </c>
      <c r="B5" s="3" t="s">
        <v>576</v>
      </c>
      <c r="C5" s="3" t="s">
        <v>763</v>
      </c>
      <c r="D5" s="3" t="s">
        <v>764</v>
      </c>
      <c r="E5" s="3" t="s">
        <v>142</v>
      </c>
      <c r="F5" s="3" t="s">
        <v>265</v>
      </c>
      <c r="G5" s="3" t="s">
        <v>175</v>
      </c>
      <c r="H5" s="3" t="s">
        <v>765</v>
      </c>
      <c r="I5" s="4">
        <v>3153851580.9099998</v>
      </c>
      <c r="J5" s="4">
        <v>0</v>
      </c>
      <c r="K5" s="4">
        <v>3153851580.9099998</v>
      </c>
      <c r="L5" s="5">
        <v>44567</v>
      </c>
      <c r="M5" s="5">
        <v>44568</v>
      </c>
      <c r="N5" s="5"/>
      <c r="O5" s="4">
        <v>96.02</v>
      </c>
      <c r="P5" s="4">
        <v>94.36</v>
      </c>
      <c r="Q5" s="3">
        <v>1</v>
      </c>
      <c r="R5" s="3">
        <v>1</v>
      </c>
      <c r="S5" s="5">
        <v>44536</v>
      </c>
      <c r="T5" s="5">
        <v>44930</v>
      </c>
      <c r="U5" s="5">
        <v>44718</v>
      </c>
      <c r="V5" s="5"/>
      <c r="W5" s="5">
        <v>44722</v>
      </c>
      <c r="X5" s="5"/>
      <c r="Y5" s="5"/>
      <c r="Z5" s="5">
        <v>46096</v>
      </c>
      <c r="AA5" s="3"/>
      <c r="AB5" s="3"/>
      <c r="AC5" s="3"/>
      <c r="AD5" s="3">
        <f t="shared" si="0"/>
        <v>100</v>
      </c>
      <c r="AE5" s="3">
        <f t="shared" si="1"/>
        <v>100</v>
      </c>
      <c r="AF5" s="3">
        <f t="shared" si="2"/>
        <v>100</v>
      </c>
      <c r="AG5" s="3">
        <f t="shared" si="3"/>
        <v>100</v>
      </c>
      <c r="AH5" s="3">
        <v>2</v>
      </c>
      <c r="AI5" s="3"/>
      <c r="AJ5" s="3">
        <v>100</v>
      </c>
      <c r="AK5" s="3">
        <v>100</v>
      </c>
      <c r="AL5" s="3">
        <f t="shared" si="4"/>
        <v>75</v>
      </c>
      <c r="AM5" s="3">
        <f t="shared" si="5"/>
        <v>75</v>
      </c>
      <c r="AN5" s="3" t="s">
        <v>766</v>
      </c>
      <c r="AO5" s="7" t="s">
        <v>39</v>
      </c>
    </row>
    <row r="6" spans="1:41" ht="70.2" customHeight="1" x14ac:dyDescent="0.3">
      <c r="A6" s="3" t="s">
        <v>577</v>
      </c>
      <c r="B6" s="3" t="s">
        <v>573</v>
      </c>
      <c r="C6" s="3" t="s">
        <v>767</v>
      </c>
      <c r="D6" s="3" t="s">
        <v>768</v>
      </c>
      <c r="E6" s="3" t="s">
        <v>382</v>
      </c>
      <c r="F6" s="3" t="s">
        <v>769</v>
      </c>
      <c r="G6" s="3" t="s">
        <v>175</v>
      </c>
      <c r="H6" s="3" t="s">
        <v>770</v>
      </c>
      <c r="I6" s="4">
        <v>6026477761</v>
      </c>
      <c r="J6" s="4">
        <v>4412367709</v>
      </c>
      <c r="K6" s="4">
        <v>10438845470</v>
      </c>
      <c r="L6" s="5">
        <v>44623</v>
      </c>
      <c r="M6" s="5">
        <v>44624</v>
      </c>
      <c r="N6" s="5">
        <v>44509</v>
      </c>
      <c r="O6" s="4">
        <v>73.45</v>
      </c>
      <c r="P6" s="4">
        <v>49.45</v>
      </c>
      <c r="Q6" s="3">
        <v>1</v>
      </c>
      <c r="R6" s="3">
        <v>0.97</v>
      </c>
      <c r="S6" s="5">
        <v>44503</v>
      </c>
      <c r="T6" s="5">
        <v>44643</v>
      </c>
      <c r="U6" s="5">
        <v>44706</v>
      </c>
      <c r="V6" s="5"/>
      <c r="W6" s="5">
        <v>44810</v>
      </c>
      <c r="X6" s="5"/>
      <c r="Y6" s="5"/>
      <c r="Z6" s="5">
        <v>46127</v>
      </c>
      <c r="AA6" s="3"/>
      <c r="AB6" s="3"/>
      <c r="AC6" s="3"/>
      <c r="AD6" s="3">
        <f t="shared" si="0"/>
        <v>100</v>
      </c>
      <c r="AE6" s="3">
        <f t="shared" si="1"/>
        <v>100</v>
      </c>
      <c r="AF6" s="3">
        <f t="shared" si="2"/>
        <v>100</v>
      </c>
      <c r="AG6" s="3">
        <f t="shared" si="3"/>
        <v>100</v>
      </c>
      <c r="AH6" s="3">
        <v>4</v>
      </c>
      <c r="AI6" s="3"/>
      <c r="AJ6" s="3">
        <v>100</v>
      </c>
      <c r="AK6" s="3">
        <v>100</v>
      </c>
      <c r="AL6" s="3">
        <f t="shared" si="4"/>
        <v>50</v>
      </c>
      <c r="AM6" s="3">
        <f t="shared" si="5"/>
        <v>50</v>
      </c>
      <c r="AN6" s="3" t="s">
        <v>771</v>
      </c>
      <c r="AO6" s="7" t="s">
        <v>33</v>
      </c>
    </row>
    <row r="7" spans="1:41" ht="70.2" customHeight="1" x14ac:dyDescent="0.3">
      <c r="A7" s="3" t="s">
        <v>578</v>
      </c>
      <c r="B7" s="3" t="s">
        <v>573</v>
      </c>
      <c r="C7" s="3" t="s">
        <v>772</v>
      </c>
      <c r="D7" s="3" t="s">
        <v>773</v>
      </c>
      <c r="E7" s="3" t="s">
        <v>382</v>
      </c>
      <c r="F7" s="3" t="s">
        <v>774</v>
      </c>
      <c r="G7" s="3" t="s">
        <v>175</v>
      </c>
      <c r="H7" s="3" t="s">
        <v>765</v>
      </c>
      <c r="I7" s="4">
        <v>1800000000</v>
      </c>
      <c r="J7" s="4">
        <v>3595445276.02</v>
      </c>
      <c r="K7" s="4">
        <v>5395445276.0200005</v>
      </c>
      <c r="L7" s="5">
        <v>44924</v>
      </c>
      <c r="M7" s="5">
        <v>44925</v>
      </c>
      <c r="N7" s="5">
        <v>44930</v>
      </c>
      <c r="O7" s="4">
        <v>64.489999999999995</v>
      </c>
      <c r="P7" s="4">
        <v>45.29</v>
      </c>
      <c r="Q7" s="3">
        <v>1</v>
      </c>
      <c r="R7" s="3">
        <v>1</v>
      </c>
      <c r="S7" s="5">
        <v>44924</v>
      </c>
      <c r="T7" s="5">
        <v>45093</v>
      </c>
      <c r="U7" s="5">
        <v>45043</v>
      </c>
      <c r="V7" s="5"/>
      <c r="W7" s="5">
        <v>45175</v>
      </c>
      <c r="X7" s="5"/>
      <c r="Y7" s="5"/>
      <c r="Z7" s="5">
        <v>46127</v>
      </c>
      <c r="AA7" s="3"/>
      <c r="AB7" s="3"/>
      <c r="AC7" s="3"/>
      <c r="AD7" s="3">
        <f t="shared" si="0"/>
        <v>100</v>
      </c>
      <c r="AE7" s="3">
        <f t="shared" si="1"/>
        <v>100</v>
      </c>
      <c r="AF7" s="3">
        <f t="shared" si="2"/>
        <v>100</v>
      </c>
      <c r="AG7" s="3">
        <f t="shared" si="3"/>
        <v>100</v>
      </c>
      <c r="AH7" s="3">
        <v>4</v>
      </c>
      <c r="AI7" s="3"/>
      <c r="AJ7" s="3">
        <v>100</v>
      </c>
      <c r="AK7" s="3">
        <v>100</v>
      </c>
      <c r="AL7" s="3">
        <f t="shared" si="4"/>
        <v>50</v>
      </c>
      <c r="AM7" s="3">
        <f t="shared" si="5"/>
        <v>50</v>
      </c>
      <c r="AN7" s="3" t="s">
        <v>771</v>
      </c>
      <c r="AO7" s="7" t="s">
        <v>5</v>
      </c>
    </row>
    <row r="8" spans="1:41" ht="70.2" customHeight="1" x14ac:dyDescent="0.3">
      <c r="A8" s="3" t="s">
        <v>579</v>
      </c>
      <c r="B8" s="3" t="s">
        <v>576</v>
      </c>
      <c r="C8" s="3" t="s">
        <v>775</v>
      </c>
      <c r="D8" s="3" t="s">
        <v>776</v>
      </c>
      <c r="E8" s="3" t="s">
        <v>142</v>
      </c>
      <c r="F8" s="3" t="s">
        <v>186</v>
      </c>
      <c r="G8" s="3" t="s">
        <v>144</v>
      </c>
      <c r="H8" s="3" t="s">
        <v>758</v>
      </c>
      <c r="I8" s="4">
        <v>1702007732.2</v>
      </c>
      <c r="J8" s="4">
        <v>0</v>
      </c>
      <c r="K8" s="4">
        <v>1702007732.2</v>
      </c>
      <c r="L8" s="5">
        <v>45225</v>
      </c>
      <c r="M8" s="5">
        <v>45226</v>
      </c>
      <c r="N8" s="5">
        <v>45232</v>
      </c>
      <c r="O8" s="4">
        <v>100</v>
      </c>
      <c r="P8" s="4">
        <v>92.4</v>
      </c>
      <c r="Q8" s="3"/>
      <c r="R8" s="3"/>
      <c r="S8" s="5">
        <v>45219</v>
      </c>
      <c r="T8" s="5">
        <v>45274</v>
      </c>
      <c r="U8" s="5">
        <v>45289</v>
      </c>
      <c r="V8" s="5"/>
      <c r="W8" s="5">
        <v>45300</v>
      </c>
      <c r="X8" s="5"/>
      <c r="Y8" s="5"/>
      <c r="Z8" s="5">
        <v>46096</v>
      </c>
      <c r="AA8" s="3"/>
      <c r="AB8" s="3"/>
      <c r="AC8" s="3"/>
      <c r="AD8" s="3" t="str">
        <f t="shared" si="0"/>
        <v/>
      </c>
      <c r="AE8" s="3" t="str">
        <f t="shared" si="1"/>
        <v/>
      </c>
      <c r="AF8" s="3">
        <f t="shared" si="2"/>
        <v>100</v>
      </c>
      <c r="AG8" s="3" t="str">
        <f t="shared" si="3"/>
        <v/>
      </c>
      <c r="AH8" s="3">
        <v>0</v>
      </c>
      <c r="AI8" s="3"/>
      <c r="AJ8" s="3"/>
      <c r="AK8" s="3"/>
      <c r="AL8" s="3">
        <f t="shared" si="4"/>
        <v>100</v>
      </c>
      <c r="AM8" s="3" t="str">
        <f t="shared" si="5"/>
        <v/>
      </c>
      <c r="AN8" s="3" t="s">
        <v>759</v>
      </c>
      <c r="AO8" s="7" t="s">
        <v>777</v>
      </c>
    </row>
    <row r="9" spans="1:41" ht="70.2" customHeight="1" x14ac:dyDescent="0.3">
      <c r="A9" s="3" t="s">
        <v>580</v>
      </c>
      <c r="B9" s="3" t="s">
        <v>576</v>
      </c>
      <c r="C9" s="3" t="s">
        <v>778</v>
      </c>
      <c r="D9" s="3" t="s">
        <v>779</v>
      </c>
      <c r="E9" s="3" t="s">
        <v>389</v>
      </c>
      <c r="F9" s="3" t="s">
        <v>780</v>
      </c>
      <c r="G9" s="3" t="s">
        <v>308</v>
      </c>
      <c r="H9" s="3" t="s">
        <v>758</v>
      </c>
      <c r="I9" s="4">
        <v>13713002364.719999</v>
      </c>
      <c r="J9" s="4">
        <v>0</v>
      </c>
      <c r="K9" s="4">
        <v>13713002364.719999</v>
      </c>
      <c r="L9" s="5">
        <v>45301</v>
      </c>
      <c r="M9" s="5">
        <v>45302</v>
      </c>
      <c r="N9" s="5">
        <v>45290</v>
      </c>
      <c r="O9" s="4">
        <v>100</v>
      </c>
      <c r="P9" s="4">
        <v>99.99</v>
      </c>
      <c r="Q9" s="3">
        <v>1</v>
      </c>
      <c r="R9" s="3">
        <v>1</v>
      </c>
      <c r="S9" s="5">
        <v>45290</v>
      </c>
      <c r="T9" s="5">
        <v>45433</v>
      </c>
      <c r="U9" s="5">
        <v>45505</v>
      </c>
      <c r="V9" s="5"/>
      <c r="W9" s="5">
        <v>45567</v>
      </c>
      <c r="X9" s="5"/>
      <c r="Y9" s="5"/>
      <c r="Z9" s="5">
        <v>46096</v>
      </c>
      <c r="AA9" s="3"/>
      <c r="AB9" s="3"/>
      <c r="AC9" s="3"/>
      <c r="AD9" s="3" t="str">
        <f t="shared" si="0"/>
        <v/>
      </c>
      <c r="AE9" s="3" t="str">
        <f t="shared" si="1"/>
        <v/>
      </c>
      <c r="AF9" s="3">
        <f t="shared" si="2"/>
        <v>100</v>
      </c>
      <c r="AG9" s="3" t="str">
        <f t="shared" si="3"/>
        <v/>
      </c>
      <c r="AH9" s="3">
        <v>2</v>
      </c>
      <c r="AI9" s="3"/>
      <c r="AJ9" s="3">
        <v>100</v>
      </c>
      <c r="AK9" s="3">
        <v>100</v>
      </c>
      <c r="AL9" s="3">
        <f t="shared" si="4"/>
        <v>75</v>
      </c>
      <c r="AM9" s="3" t="str">
        <f t="shared" si="5"/>
        <v/>
      </c>
      <c r="AN9" s="3" t="s">
        <v>759</v>
      </c>
      <c r="AO9" s="7" t="s">
        <v>781</v>
      </c>
    </row>
    <row r="10" spans="1:41" ht="70.2" customHeight="1" x14ac:dyDescent="0.3">
      <c r="A10" s="3" t="s">
        <v>581</v>
      </c>
      <c r="B10" s="3" t="s">
        <v>576</v>
      </c>
      <c r="C10" s="3" t="s">
        <v>782</v>
      </c>
      <c r="D10" s="3" t="s">
        <v>783</v>
      </c>
      <c r="E10" s="3" t="s">
        <v>321</v>
      </c>
      <c r="F10" s="3" t="s">
        <v>186</v>
      </c>
      <c r="G10" s="3" t="s">
        <v>175</v>
      </c>
      <c r="H10" s="3" t="s">
        <v>765</v>
      </c>
      <c r="I10" s="4">
        <v>9056051736.6399994</v>
      </c>
      <c r="J10" s="4">
        <v>0</v>
      </c>
      <c r="K10" s="4">
        <v>9056051736.6399994</v>
      </c>
      <c r="L10" s="5">
        <v>45301</v>
      </c>
      <c r="M10" s="5">
        <v>45302</v>
      </c>
      <c r="N10" s="5">
        <v>45290</v>
      </c>
      <c r="O10" s="4">
        <v>15.79</v>
      </c>
      <c r="P10" s="4">
        <v>31.78</v>
      </c>
      <c r="Q10" s="3">
        <v>1</v>
      </c>
      <c r="R10" s="3">
        <v>0.89</v>
      </c>
      <c r="S10" s="5">
        <v>45290</v>
      </c>
      <c r="T10" s="5">
        <v>45491</v>
      </c>
      <c r="U10" s="5">
        <v>45582</v>
      </c>
      <c r="V10" s="5"/>
      <c r="W10" s="5">
        <v>45772</v>
      </c>
      <c r="X10" s="5"/>
      <c r="Y10" s="5"/>
      <c r="Z10" s="5">
        <v>46096</v>
      </c>
      <c r="AA10" s="3"/>
      <c r="AB10" s="3"/>
      <c r="AC10" s="3"/>
      <c r="AD10" s="3">
        <f t="shared" si="0"/>
        <v>100</v>
      </c>
      <c r="AE10" s="3">
        <f t="shared" si="1"/>
        <v>100</v>
      </c>
      <c r="AF10" s="3">
        <f t="shared" si="2"/>
        <v>100</v>
      </c>
      <c r="AG10" s="3">
        <f t="shared" si="3"/>
        <v>100</v>
      </c>
      <c r="AH10" s="3"/>
      <c r="AI10" s="3"/>
      <c r="AJ10" s="3">
        <v>100</v>
      </c>
      <c r="AK10" s="3">
        <v>100</v>
      </c>
      <c r="AL10" s="3">
        <f t="shared" si="4"/>
        <v>100</v>
      </c>
      <c r="AM10" s="3">
        <f t="shared" si="5"/>
        <v>100</v>
      </c>
      <c r="AN10" s="3"/>
      <c r="AO10" s="7" t="s">
        <v>23</v>
      </c>
    </row>
    <row r="11" spans="1:41" ht="70.2" customHeight="1" x14ac:dyDescent="0.3">
      <c r="A11" s="3" t="s">
        <v>582</v>
      </c>
      <c r="B11" s="3" t="s">
        <v>573</v>
      </c>
      <c r="C11" s="3" t="s">
        <v>784</v>
      </c>
      <c r="D11" s="3" t="s">
        <v>785</v>
      </c>
      <c r="E11" s="3" t="s">
        <v>382</v>
      </c>
      <c r="F11" s="3" t="s">
        <v>186</v>
      </c>
      <c r="G11" s="3" t="s">
        <v>175</v>
      </c>
      <c r="H11" s="3" t="s">
        <v>765</v>
      </c>
      <c r="I11" s="4">
        <v>7862105021</v>
      </c>
      <c r="J11" s="4">
        <v>0</v>
      </c>
      <c r="K11" s="4">
        <v>7862105021</v>
      </c>
      <c r="L11" s="5">
        <v>45477</v>
      </c>
      <c r="M11" s="5">
        <v>45478</v>
      </c>
      <c r="N11" s="5">
        <v>45485</v>
      </c>
      <c r="O11" s="4">
        <v>94.7</v>
      </c>
      <c r="P11" s="4">
        <v>89.87</v>
      </c>
      <c r="Q11" s="3">
        <v>1</v>
      </c>
      <c r="R11" s="3">
        <v>1</v>
      </c>
      <c r="S11" s="5">
        <v>45471</v>
      </c>
      <c r="T11" s="5">
        <v>45539</v>
      </c>
      <c r="U11" s="5">
        <v>45609</v>
      </c>
      <c r="V11" s="5"/>
      <c r="W11" s="5">
        <v>45624</v>
      </c>
      <c r="X11" s="5"/>
      <c r="Y11" s="5"/>
      <c r="Z11" s="5">
        <v>46127</v>
      </c>
      <c r="AA11" s="3"/>
      <c r="AB11" s="3"/>
      <c r="AC11" s="3"/>
      <c r="AD11" s="3">
        <f t="shared" si="0"/>
        <v>100</v>
      </c>
      <c r="AE11" s="3">
        <f t="shared" si="1"/>
        <v>100</v>
      </c>
      <c r="AF11" s="3">
        <f t="shared" si="2"/>
        <v>100</v>
      </c>
      <c r="AG11" s="3">
        <f t="shared" si="3"/>
        <v>100</v>
      </c>
      <c r="AH11" s="3">
        <v>3</v>
      </c>
      <c r="AI11" s="3"/>
      <c r="AJ11" s="3">
        <v>100</v>
      </c>
      <c r="AK11" s="3">
        <v>100</v>
      </c>
      <c r="AL11" s="3">
        <f t="shared" si="4"/>
        <v>60</v>
      </c>
      <c r="AM11" s="3">
        <f t="shared" si="5"/>
        <v>60</v>
      </c>
      <c r="AN11" s="3"/>
      <c r="AO11" s="7" t="s">
        <v>31</v>
      </c>
    </row>
    <row r="12" spans="1:41" ht="70.2" customHeight="1" x14ac:dyDescent="0.3">
      <c r="A12" s="3" t="s">
        <v>583</v>
      </c>
      <c r="B12" s="3" t="s">
        <v>584</v>
      </c>
      <c r="C12" s="3" t="s">
        <v>786</v>
      </c>
      <c r="D12" s="3" t="s">
        <v>787</v>
      </c>
      <c r="E12" s="3" t="s">
        <v>358</v>
      </c>
      <c r="F12" s="3" t="s">
        <v>186</v>
      </c>
      <c r="G12" s="3" t="s">
        <v>175</v>
      </c>
      <c r="H12" s="3" t="s">
        <v>765</v>
      </c>
      <c r="I12" s="4">
        <v>15100656106.639999</v>
      </c>
      <c r="J12" s="4">
        <v>0</v>
      </c>
      <c r="K12" s="4">
        <v>15100656106.639999</v>
      </c>
      <c r="L12" s="5">
        <v>45474</v>
      </c>
      <c r="M12" s="5">
        <v>45475</v>
      </c>
      <c r="N12" s="5">
        <v>45506</v>
      </c>
      <c r="O12" s="4">
        <v>99.98</v>
      </c>
      <c r="P12" s="4">
        <v>88.74</v>
      </c>
      <c r="Q12" s="3">
        <v>1</v>
      </c>
      <c r="R12" s="3">
        <v>1</v>
      </c>
      <c r="S12" s="5">
        <v>45470</v>
      </c>
      <c r="T12" s="5">
        <v>45544</v>
      </c>
      <c r="U12" s="5">
        <v>45716</v>
      </c>
      <c r="V12" s="5"/>
      <c r="W12" s="5">
        <v>45723</v>
      </c>
      <c r="X12" s="5"/>
      <c r="Y12" s="5"/>
      <c r="Z12" s="5">
        <v>46096</v>
      </c>
      <c r="AA12" s="3"/>
      <c r="AB12" s="3"/>
      <c r="AC12" s="3"/>
      <c r="AD12" s="3">
        <f t="shared" si="0"/>
        <v>100</v>
      </c>
      <c r="AE12" s="3">
        <f t="shared" si="1"/>
        <v>100</v>
      </c>
      <c r="AF12" s="3">
        <f t="shared" si="2"/>
        <v>100</v>
      </c>
      <c r="AG12" s="3">
        <f t="shared" si="3"/>
        <v>100</v>
      </c>
      <c r="AH12" s="3">
        <v>1</v>
      </c>
      <c r="AI12" s="3"/>
      <c r="AJ12" s="3">
        <v>100</v>
      </c>
      <c r="AK12" s="3">
        <v>100</v>
      </c>
      <c r="AL12" s="3">
        <f t="shared" si="4"/>
        <v>90</v>
      </c>
      <c r="AM12" s="3">
        <f t="shared" si="5"/>
        <v>90</v>
      </c>
      <c r="AN12" s="3" t="s">
        <v>788</v>
      </c>
      <c r="AO12" s="7" t="s">
        <v>789</v>
      </c>
    </row>
    <row r="13" spans="1:41" ht="70.2" customHeight="1" x14ac:dyDescent="0.3">
      <c r="A13" s="3" t="s">
        <v>585</v>
      </c>
      <c r="B13" s="3" t="s">
        <v>573</v>
      </c>
      <c r="C13" s="3" t="s">
        <v>790</v>
      </c>
      <c r="D13" s="3" t="s">
        <v>791</v>
      </c>
      <c r="E13" s="3" t="s">
        <v>373</v>
      </c>
      <c r="F13" s="3" t="s">
        <v>186</v>
      </c>
      <c r="G13" s="3" t="s">
        <v>144</v>
      </c>
      <c r="H13" s="3" t="s">
        <v>765</v>
      </c>
      <c r="I13" s="4">
        <v>3068416428</v>
      </c>
      <c r="J13" s="4">
        <v>0</v>
      </c>
      <c r="K13" s="4">
        <v>3068416428</v>
      </c>
      <c r="L13" s="5">
        <v>45658</v>
      </c>
      <c r="M13" s="5">
        <v>45659</v>
      </c>
      <c r="N13" s="5">
        <v>45656</v>
      </c>
      <c r="O13" s="4">
        <v>99.99</v>
      </c>
      <c r="P13" s="4">
        <v>64.38</v>
      </c>
      <c r="Q13" s="3">
        <v>1</v>
      </c>
      <c r="R13" s="3">
        <v>1</v>
      </c>
      <c r="S13" s="5">
        <v>45650</v>
      </c>
      <c r="T13" s="5">
        <v>45849</v>
      </c>
      <c r="U13" s="5">
        <v>45852</v>
      </c>
      <c r="V13" s="5"/>
      <c r="W13" s="5">
        <v>45863</v>
      </c>
      <c r="X13" s="5"/>
      <c r="Y13" s="5"/>
      <c r="Z13" s="5">
        <v>46127</v>
      </c>
      <c r="AA13" s="3"/>
      <c r="AB13" s="3"/>
      <c r="AC13" s="3"/>
      <c r="AD13" s="3" t="str">
        <f t="shared" si="0"/>
        <v/>
      </c>
      <c r="AE13" s="3" t="str">
        <f t="shared" si="1"/>
        <v/>
      </c>
      <c r="AF13" s="3">
        <f t="shared" si="2"/>
        <v>100</v>
      </c>
      <c r="AG13" s="3" t="str">
        <f t="shared" si="3"/>
        <v/>
      </c>
      <c r="AH13" s="3"/>
      <c r="AI13" s="3"/>
      <c r="AJ13" s="3">
        <v>100</v>
      </c>
      <c r="AK13" s="3">
        <v>100</v>
      </c>
      <c r="AL13" s="3">
        <f t="shared" si="4"/>
        <v>100</v>
      </c>
      <c r="AM13" s="3" t="str">
        <f t="shared" si="5"/>
        <v/>
      </c>
      <c r="AN13" s="3"/>
      <c r="AO13" s="7" t="s">
        <v>39</v>
      </c>
    </row>
    <row r="14" spans="1:41" ht="70.2" customHeight="1" x14ac:dyDescent="0.3">
      <c r="A14" s="3" t="s">
        <v>586</v>
      </c>
      <c r="B14" s="3" t="s">
        <v>584</v>
      </c>
      <c r="C14" s="3" t="s">
        <v>792</v>
      </c>
      <c r="D14" s="3" t="s">
        <v>793</v>
      </c>
      <c r="E14" s="3" t="s">
        <v>358</v>
      </c>
      <c r="F14" s="3" t="s">
        <v>186</v>
      </c>
      <c r="G14" s="3" t="s">
        <v>175</v>
      </c>
      <c r="H14" s="3" t="s">
        <v>794</v>
      </c>
      <c r="I14" s="4">
        <v>63850574205.629997</v>
      </c>
      <c r="J14" s="4">
        <v>0</v>
      </c>
      <c r="K14" s="4">
        <v>63850574205.629997</v>
      </c>
      <c r="L14" s="5">
        <v>45658</v>
      </c>
      <c r="M14" s="5">
        <v>45659</v>
      </c>
      <c r="N14" s="5">
        <v>45656</v>
      </c>
      <c r="O14" s="4">
        <v>27.35</v>
      </c>
      <c r="P14" s="4">
        <v>48.74</v>
      </c>
      <c r="Q14" s="3">
        <v>0</v>
      </c>
      <c r="R14" s="3">
        <v>0</v>
      </c>
      <c r="S14" s="5">
        <v>45653</v>
      </c>
      <c r="T14" s="5">
        <v>45656</v>
      </c>
      <c r="U14" s="5">
        <v>45672</v>
      </c>
      <c r="V14" s="5"/>
      <c r="W14" s="5">
        <v>45672</v>
      </c>
      <c r="X14" s="5"/>
      <c r="Y14" s="5"/>
      <c r="Z14" s="5">
        <v>46096</v>
      </c>
      <c r="AA14" s="3"/>
      <c r="AB14" s="3"/>
      <c r="AC14" s="3"/>
      <c r="AD14" s="3">
        <f t="shared" si="0"/>
        <v>0</v>
      </c>
      <c r="AE14" s="3">
        <f t="shared" si="1"/>
        <v>0</v>
      </c>
      <c r="AF14" s="3">
        <f t="shared" si="2"/>
        <v>100</v>
      </c>
      <c r="AG14" s="3">
        <f t="shared" si="3"/>
        <v>100</v>
      </c>
      <c r="AH14" s="3">
        <v>2</v>
      </c>
      <c r="AI14" s="3"/>
      <c r="AJ14" s="3">
        <v>100</v>
      </c>
      <c r="AK14" s="3">
        <v>100</v>
      </c>
      <c r="AL14" s="3">
        <f t="shared" si="4"/>
        <v>75</v>
      </c>
      <c r="AM14" s="3">
        <f t="shared" si="5"/>
        <v>30</v>
      </c>
      <c r="AN14" s="3"/>
      <c r="AO14" s="7" t="s">
        <v>23</v>
      </c>
    </row>
    <row r="15" spans="1:41" ht="70.2" customHeight="1" x14ac:dyDescent="0.3">
      <c r="A15" s="3" t="s">
        <v>587</v>
      </c>
      <c r="B15" s="3" t="s">
        <v>573</v>
      </c>
      <c r="C15" s="3" t="s">
        <v>795</v>
      </c>
      <c r="D15" s="3" t="s">
        <v>796</v>
      </c>
      <c r="E15" s="3" t="s">
        <v>382</v>
      </c>
      <c r="F15" s="3" t="s">
        <v>186</v>
      </c>
      <c r="G15" s="3" t="s">
        <v>175</v>
      </c>
      <c r="H15" s="3" t="s">
        <v>765</v>
      </c>
      <c r="I15" s="4">
        <v>11318403530.17</v>
      </c>
      <c r="J15" s="4">
        <v>0</v>
      </c>
      <c r="K15" s="4">
        <v>11318403530.17</v>
      </c>
      <c r="L15" s="5">
        <v>45822</v>
      </c>
      <c r="M15" s="5">
        <v>45823</v>
      </c>
      <c r="N15" s="5">
        <v>45825</v>
      </c>
      <c r="O15" s="4">
        <v>19.2</v>
      </c>
      <c r="P15" s="4">
        <v>40</v>
      </c>
      <c r="Q15" s="3">
        <v>1</v>
      </c>
      <c r="R15" s="3">
        <v>1.06</v>
      </c>
      <c r="S15" s="5">
        <v>45818</v>
      </c>
      <c r="T15" s="5">
        <v>45926</v>
      </c>
      <c r="U15" s="5">
        <v>45981</v>
      </c>
      <c r="V15" s="5"/>
      <c r="W15" s="5">
        <v>46030</v>
      </c>
      <c r="X15" s="5"/>
      <c r="Y15" s="5"/>
      <c r="Z15" s="5">
        <v>46127</v>
      </c>
      <c r="AA15" s="3"/>
      <c r="AB15" s="3"/>
      <c r="AC15" s="3"/>
      <c r="AD15" s="3">
        <f t="shared" si="0"/>
        <v>100</v>
      </c>
      <c r="AE15" s="3">
        <f t="shared" si="1"/>
        <v>100</v>
      </c>
      <c r="AF15" s="3">
        <f t="shared" si="2"/>
        <v>100</v>
      </c>
      <c r="AG15" s="3">
        <f t="shared" si="3"/>
        <v>100</v>
      </c>
      <c r="AH15" s="3"/>
      <c r="AI15" s="3"/>
      <c r="AJ15" s="3">
        <v>100</v>
      </c>
      <c r="AK15" s="3">
        <v>100</v>
      </c>
      <c r="AL15" s="3">
        <f t="shared" si="4"/>
        <v>100</v>
      </c>
      <c r="AM15" s="3">
        <f t="shared" si="5"/>
        <v>100</v>
      </c>
      <c r="AN15" s="3"/>
      <c r="AO15" s="7" t="s">
        <v>797</v>
      </c>
    </row>
    <row r="16" spans="1:41" ht="70.2" customHeight="1" x14ac:dyDescent="0.3">
      <c r="A16" s="3" t="s">
        <v>588</v>
      </c>
      <c r="B16" s="3" t="s">
        <v>584</v>
      </c>
      <c r="C16" s="3" t="s">
        <v>798</v>
      </c>
      <c r="D16" s="3" t="s">
        <v>799</v>
      </c>
      <c r="E16" s="3" t="s">
        <v>358</v>
      </c>
      <c r="F16" s="3" t="s">
        <v>316</v>
      </c>
      <c r="G16" s="3" t="s">
        <v>472</v>
      </c>
      <c r="H16" s="3" t="s">
        <v>794</v>
      </c>
      <c r="I16" s="4">
        <v>1903272161</v>
      </c>
      <c r="J16" s="4">
        <v>0</v>
      </c>
      <c r="K16" s="4">
        <v>1903272161</v>
      </c>
      <c r="L16" s="5">
        <v>45789</v>
      </c>
      <c r="M16" s="5">
        <v>45790</v>
      </c>
      <c r="N16" s="5">
        <v>45803</v>
      </c>
      <c r="O16" s="4">
        <v>0</v>
      </c>
      <c r="P16" s="4">
        <v>0</v>
      </c>
      <c r="Q16" s="3"/>
      <c r="R16" s="3"/>
      <c r="S16" s="5">
        <v>45785</v>
      </c>
      <c r="T16" s="5">
        <v>45838</v>
      </c>
      <c r="U16" s="5">
        <v>46058</v>
      </c>
      <c r="V16" s="34">
        <v>46058</v>
      </c>
      <c r="W16" s="5"/>
      <c r="X16" s="5"/>
      <c r="Y16" s="5"/>
      <c r="Z16" s="5">
        <v>46096</v>
      </c>
      <c r="AA16" s="3"/>
      <c r="AB16" s="3"/>
      <c r="AC16" s="3">
        <v>38</v>
      </c>
      <c r="AD16" s="3" t="str">
        <f t="shared" si="0"/>
        <v/>
      </c>
      <c r="AE16" s="3" t="str">
        <f t="shared" si="1"/>
        <v/>
      </c>
      <c r="AF16" s="3">
        <f t="shared" si="2"/>
        <v>100</v>
      </c>
      <c r="AG16" s="3" t="str">
        <f t="shared" si="3"/>
        <v/>
      </c>
      <c r="AH16" s="3"/>
      <c r="AI16" s="3">
        <v>75.862068965517238</v>
      </c>
      <c r="AJ16" s="3">
        <v>100</v>
      </c>
      <c r="AK16" s="3">
        <v>100</v>
      </c>
      <c r="AL16" s="3">
        <f t="shared" si="4"/>
        <v>100</v>
      </c>
      <c r="AM16" s="3">
        <f t="shared" si="5"/>
        <v>0</v>
      </c>
      <c r="AN16" s="3"/>
      <c r="AO16" s="7" t="s">
        <v>24</v>
      </c>
    </row>
    <row r="17" spans="1:41" ht="70.2" customHeight="1" x14ac:dyDescent="0.3">
      <c r="A17" s="3" t="s">
        <v>589</v>
      </c>
      <c r="B17" s="3" t="s">
        <v>584</v>
      </c>
      <c r="C17" s="3" t="s">
        <v>800</v>
      </c>
      <c r="D17" s="3" t="s">
        <v>801</v>
      </c>
      <c r="E17" s="3" t="s">
        <v>358</v>
      </c>
      <c r="F17" s="3" t="s">
        <v>316</v>
      </c>
      <c r="G17" s="3" t="s">
        <v>175</v>
      </c>
      <c r="H17" s="3" t="s">
        <v>794</v>
      </c>
      <c r="I17" s="4">
        <v>1484402616</v>
      </c>
      <c r="J17" s="4">
        <v>400000000</v>
      </c>
      <c r="K17" s="4">
        <v>1884402616</v>
      </c>
      <c r="L17" s="5"/>
      <c r="M17" s="5"/>
      <c r="N17" s="5">
        <v>45803</v>
      </c>
      <c r="O17" s="4">
        <v>9.6000000000000002E-2</v>
      </c>
      <c r="P17" s="4">
        <v>22.11</v>
      </c>
      <c r="Q17" s="3"/>
      <c r="R17" s="3"/>
      <c r="S17" s="5">
        <v>45796</v>
      </c>
      <c r="T17" s="5">
        <v>45947</v>
      </c>
      <c r="U17" s="5">
        <v>46112</v>
      </c>
      <c r="V17" s="5"/>
      <c r="W17" s="5">
        <v>46120</v>
      </c>
      <c r="X17" s="5"/>
      <c r="Y17" s="5"/>
      <c r="Z17" s="5">
        <v>46096</v>
      </c>
      <c r="AA17" s="3"/>
      <c r="AB17" s="3"/>
      <c r="AC17" s="3"/>
      <c r="AD17" s="3">
        <f t="shared" si="0"/>
        <v>0</v>
      </c>
      <c r="AE17" s="3">
        <f t="shared" si="1"/>
        <v>0</v>
      </c>
      <c r="AF17" s="3">
        <f t="shared" si="2"/>
        <v>100</v>
      </c>
      <c r="AG17" s="3">
        <f t="shared" si="3"/>
        <v>100</v>
      </c>
      <c r="AH17" s="3"/>
      <c r="AI17" s="3"/>
      <c r="AJ17" s="3">
        <v>100</v>
      </c>
      <c r="AK17" s="3">
        <v>100</v>
      </c>
      <c r="AL17" s="3">
        <f t="shared" si="4"/>
        <v>100</v>
      </c>
      <c r="AM17" s="3">
        <f t="shared" si="5"/>
        <v>40</v>
      </c>
      <c r="AN17" s="3"/>
      <c r="AO17" s="7" t="s">
        <v>17</v>
      </c>
    </row>
    <row r="18" spans="1:41" ht="70.2" customHeight="1" x14ac:dyDescent="0.3">
      <c r="A18" s="3" t="s">
        <v>590</v>
      </c>
      <c r="B18" s="3" t="s">
        <v>573</v>
      </c>
      <c r="C18" s="3" t="s">
        <v>802</v>
      </c>
      <c r="D18" s="3" t="s">
        <v>803</v>
      </c>
      <c r="E18" s="3" t="s">
        <v>382</v>
      </c>
      <c r="F18" s="3" t="s">
        <v>804</v>
      </c>
      <c r="G18" s="3" t="s">
        <v>447</v>
      </c>
      <c r="H18" s="3" t="s">
        <v>805</v>
      </c>
      <c r="I18" s="4">
        <v>627486059.86000001</v>
      </c>
      <c r="J18" s="4">
        <v>1650000000</v>
      </c>
      <c r="K18" s="4">
        <v>2277486059.8600001</v>
      </c>
      <c r="L18" s="5">
        <v>46118</v>
      </c>
      <c r="M18" s="5">
        <v>46119</v>
      </c>
      <c r="N18" s="5">
        <v>46119</v>
      </c>
      <c r="O18" s="4"/>
      <c r="P18" s="4"/>
      <c r="Q18" s="3"/>
      <c r="R18" s="3"/>
      <c r="S18" s="5">
        <v>46107</v>
      </c>
      <c r="T18" s="5"/>
      <c r="U18" s="5"/>
      <c r="V18" s="5"/>
      <c r="W18" s="5"/>
      <c r="X18" s="5"/>
      <c r="Y18" s="5"/>
      <c r="Z18" s="5">
        <v>46127</v>
      </c>
      <c r="AA18" s="3">
        <v>20</v>
      </c>
      <c r="AB18" s="3"/>
      <c r="AC18" s="3"/>
      <c r="AD18" s="3" t="str">
        <f t="shared" si="0"/>
        <v/>
      </c>
      <c r="AE18" s="3" t="str">
        <f t="shared" si="1"/>
        <v/>
      </c>
      <c r="AF18" s="3">
        <f t="shared" si="2"/>
        <v>100</v>
      </c>
      <c r="AG18" s="3" t="str">
        <f t="shared" si="3"/>
        <v/>
      </c>
      <c r="AH18" s="3"/>
      <c r="AI18" s="3">
        <v>100</v>
      </c>
      <c r="AJ18" s="3">
        <v>100</v>
      </c>
      <c r="AK18" s="3">
        <v>100</v>
      </c>
      <c r="AL18" s="3">
        <f t="shared" si="4"/>
        <v>100</v>
      </c>
      <c r="AM18" s="3" t="str">
        <f t="shared" si="5"/>
        <v/>
      </c>
      <c r="AN18" s="3"/>
      <c r="AO18" s="7" t="s">
        <v>36</v>
      </c>
    </row>
  </sheetData>
  <mergeCells count="3">
    <mergeCell ref="A1:N1"/>
    <mergeCell ref="O1:AG1"/>
    <mergeCell ref="AH1:AM1"/>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S104"/>
  <sheetViews>
    <sheetView workbookViewId="0">
      <selection activeCell="S2" sqref="S2"/>
    </sheetView>
  </sheetViews>
  <sheetFormatPr baseColWidth="10" defaultColWidth="8.88671875" defaultRowHeight="14.4" x14ac:dyDescent="0.3"/>
  <cols>
    <col min="1" max="18" width="25.6640625" customWidth="1"/>
    <col min="19" max="19" width="33.33203125" customWidth="1"/>
  </cols>
  <sheetData>
    <row r="1" spans="1:19" ht="40.200000000000003" customHeight="1" x14ac:dyDescent="0.3">
      <c r="A1" s="35" t="s">
        <v>86</v>
      </c>
      <c r="B1" s="35"/>
      <c r="C1" s="35"/>
      <c r="D1" s="35"/>
      <c r="E1" s="35"/>
      <c r="F1" s="35"/>
      <c r="G1" s="35"/>
      <c r="H1" s="35"/>
      <c r="I1" s="35"/>
      <c r="J1" s="35"/>
      <c r="K1" s="35"/>
      <c r="L1" s="35"/>
      <c r="M1" s="35"/>
      <c r="N1" s="35"/>
      <c r="O1" s="35"/>
      <c r="P1" s="35"/>
      <c r="Q1" s="35"/>
      <c r="R1" s="35"/>
    </row>
    <row r="2" spans="1:19" ht="70.2" customHeight="1" x14ac:dyDescent="0.3">
      <c r="A2" s="1" t="s">
        <v>89</v>
      </c>
      <c r="B2" s="1" t="s">
        <v>749</v>
      </c>
      <c r="C2" s="1" t="s">
        <v>750</v>
      </c>
      <c r="D2" s="1" t="s">
        <v>751</v>
      </c>
      <c r="E2" s="1" t="s">
        <v>93</v>
      </c>
      <c r="F2" s="1" t="s">
        <v>752</v>
      </c>
      <c r="G2" s="1" t="s">
        <v>95</v>
      </c>
      <c r="H2" s="1" t="s">
        <v>96</v>
      </c>
      <c r="I2" s="1" t="s">
        <v>99</v>
      </c>
      <c r="J2" s="1" t="s">
        <v>101</v>
      </c>
      <c r="K2" s="1" t="s">
        <v>753</v>
      </c>
      <c r="L2" s="1" t="s">
        <v>113</v>
      </c>
      <c r="M2" s="1" t="s">
        <v>107</v>
      </c>
      <c r="N2" s="1" t="s">
        <v>108</v>
      </c>
      <c r="O2" s="1" t="s">
        <v>115</v>
      </c>
      <c r="P2" s="1" t="s">
        <v>754</v>
      </c>
      <c r="Q2" s="1" t="s">
        <v>110</v>
      </c>
      <c r="R2" s="1" t="s">
        <v>806</v>
      </c>
      <c r="S2" s="6" t="s">
        <v>137</v>
      </c>
    </row>
    <row r="3" spans="1:19" ht="70.2" customHeight="1" x14ac:dyDescent="0.3">
      <c r="A3" s="3" t="s">
        <v>591</v>
      </c>
      <c r="B3" s="3" t="s">
        <v>592</v>
      </c>
      <c r="C3" s="3" t="s">
        <v>807</v>
      </c>
      <c r="D3" s="3" t="s">
        <v>808</v>
      </c>
      <c r="E3" s="3" t="s">
        <v>183</v>
      </c>
      <c r="F3" s="3" t="s">
        <v>147</v>
      </c>
      <c r="G3" s="3" t="s">
        <v>144</v>
      </c>
      <c r="H3" s="3" t="s">
        <v>809</v>
      </c>
      <c r="I3" s="4">
        <v>22526692745</v>
      </c>
      <c r="J3" s="4">
        <v>0</v>
      </c>
      <c r="K3" s="4">
        <v>22526692745</v>
      </c>
      <c r="L3" s="5">
        <v>41201</v>
      </c>
      <c r="M3" s="5"/>
      <c r="N3" s="5">
        <v>41829</v>
      </c>
      <c r="O3" s="5">
        <v>42072</v>
      </c>
      <c r="P3" s="4">
        <v>100</v>
      </c>
      <c r="Q3" s="4">
        <v>99.82</v>
      </c>
      <c r="R3" s="3"/>
      <c r="S3" s="7" t="s">
        <v>810</v>
      </c>
    </row>
    <row r="4" spans="1:19" ht="70.2" customHeight="1" x14ac:dyDescent="0.3">
      <c r="A4" s="3" t="s">
        <v>593</v>
      </c>
      <c r="B4" s="3" t="s">
        <v>594</v>
      </c>
      <c r="C4" s="3" t="s">
        <v>811</v>
      </c>
      <c r="D4" s="3" t="s">
        <v>812</v>
      </c>
      <c r="E4" s="3" t="s">
        <v>183</v>
      </c>
      <c r="F4" s="3" t="s">
        <v>316</v>
      </c>
      <c r="G4" s="3" t="s">
        <v>144</v>
      </c>
      <c r="H4" s="3" t="s">
        <v>758</v>
      </c>
      <c r="I4" s="4">
        <v>924979909</v>
      </c>
      <c r="J4" s="4">
        <v>30000000</v>
      </c>
      <c r="K4" s="4">
        <v>954979909</v>
      </c>
      <c r="L4" s="5">
        <v>41191</v>
      </c>
      <c r="M4" s="5"/>
      <c r="N4" s="5">
        <v>41304</v>
      </c>
      <c r="O4" s="5">
        <v>41452</v>
      </c>
      <c r="P4" s="4">
        <v>100</v>
      </c>
      <c r="Q4" s="4">
        <v>0</v>
      </c>
      <c r="R4" s="3"/>
      <c r="S4" s="7" t="s">
        <v>19</v>
      </c>
    </row>
    <row r="5" spans="1:19" ht="70.2" customHeight="1" x14ac:dyDescent="0.3">
      <c r="A5" s="3" t="s">
        <v>595</v>
      </c>
      <c r="B5" s="3" t="s">
        <v>596</v>
      </c>
      <c r="C5" s="3" t="s">
        <v>813</v>
      </c>
      <c r="D5" s="3" t="s">
        <v>814</v>
      </c>
      <c r="E5" s="3" t="s">
        <v>183</v>
      </c>
      <c r="F5" s="3" t="s">
        <v>316</v>
      </c>
      <c r="G5" s="3" t="s">
        <v>144</v>
      </c>
      <c r="H5" s="3" t="s">
        <v>809</v>
      </c>
      <c r="I5" s="4">
        <v>999998309</v>
      </c>
      <c r="J5" s="4">
        <v>11000000</v>
      </c>
      <c r="K5" s="4">
        <v>1010998309</v>
      </c>
      <c r="L5" s="5">
        <v>41191</v>
      </c>
      <c r="M5" s="5"/>
      <c r="N5" s="5">
        <v>41276</v>
      </c>
      <c r="O5" s="5">
        <v>41355</v>
      </c>
      <c r="P5" s="4">
        <v>98.9</v>
      </c>
      <c r="Q5" s="4">
        <v>98.2</v>
      </c>
      <c r="R5" s="3"/>
      <c r="S5" s="7" t="s">
        <v>15</v>
      </c>
    </row>
    <row r="6" spans="1:19" ht="70.2" customHeight="1" x14ac:dyDescent="0.3">
      <c r="A6" s="3" t="s">
        <v>597</v>
      </c>
      <c r="B6" s="3" t="s">
        <v>598</v>
      </c>
      <c r="C6" s="3" t="s">
        <v>815</v>
      </c>
      <c r="D6" s="3" t="s">
        <v>816</v>
      </c>
      <c r="E6" s="3" t="s">
        <v>183</v>
      </c>
      <c r="F6" s="3" t="s">
        <v>147</v>
      </c>
      <c r="G6" s="3" t="s">
        <v>144</v>
      </c>
      <c r="H6" s="3" t="s">
        <v>809</v>
      </c>
      <c r="I6" s="4">
        <v>16567304387</v>
      </c>
      <c r="J6" s="4">
        <v>0</v>
      </c>
      <c r="K6" s="4">
        <v>16567304387</v>
      </c>
      <c r="L6" s="5">
        <v>41533</v>
      </c>
      <c r="M6" s="5"/>
      <c r="N6" s="5">
        <v>41537</v>
      </c>
      <c r="O6" s="5">
        <v>41669</v>
      </c>
      <c r="P6" s="4">
        <v>100</v>
      </c>
      <c r="Q6" s="4">
        <v>99.98</v>
      </c>
      <c r="R6" s="3"/>
      <c r="S6" s="7" t="s">
        <v>817</v>
      </c>
    </row>
    <row r="7" spans="1:19" ht="70.2" customHeight="1" x14ac:dyDescent="0.3">
      <c r="A7" s="3" t="s">
        <v>599</v>
      </c>
      <c r="B7" s="3" t="s">
        <v>596</v>
      </c>
      <c r="C7" s="3" t="s">
        <v>818</v>
      </c>
      <c r="D7" s="3" t="s">
        <v>819</v>
      </c>
      <c r="E7" s="3" t="s">
        <v>183</v>
      </c>
      <c r="F7" s="3" t="s">
        <v>820</v>
      </c>
      <c r="G7" s="3" t="s">
        <v>144</v>
      </c>
      <c r="H7" s="3" t="s">
        <v>758</v>
      </c>
      <c r="I7" s="4">
        <v>12429000000</v>
      </c>
      <c r="J7" s="4">
        <v>159110083</v>
      </c>
      <c r="K7" s="4">
        <v>12588110083</v>
      </c>
      <c r="L7" s="5">
        <v>41907</v>
      </c>
      <c r="M7" s="5"/>
      <c r="N7" s="5">
        <v>42821</v>
      </c>
      <c r="O7" s="5">
        <v>42226</v>
      </c>
      <c r="P7" s="4">
        <v>100</v>
      </c>
      <c r="Q7" s="4">
        <v>99.51</v>
      </c>
      <c r="R7" s="3"/>
      <c r="S7" s="7" t="s">
        <v>15</v>
      </c>
    </row>
    <row r="8" spans="1:19" ht="70.2" customHeight="1" x14ac:dyDescent="0.3">
      <c r="A8" s="3" t="s">
        <v>600</v>
      </c>
      <c r="B8" s="3" t="s">
        <v>601</v>
      </c>
      <c r="C8" s="3" t="s">
        <v>821</v>
      </c>
      <c r="D8" s="3" t="s">
        <v>822</v>
      </c>
      <c r="E8" s="3" t="s">
        <v>461</v>
      </c>
      <c r="F8" s="3" t="s">
        <v>147</v>
      </c>
      <c r="G8" s="3" t="s">
        <v>175</v>
      </c>
      <c r="H8" s="3" t="s">
        <v>770</v>
      </c>
      <c r="I8" s="4">
        <v>14996018261</v>
      </c>
      <c r="J8" s="4">
        <v>0</v>
      </c>
      <c r="K8" s="4">
        <v>14996018261</v>
      </c>
      <c r="L8" s="5">
        <v>41376</v>
      </c>
      <c r="M8" s="5"/>
      <c r="N8" s="5">
        <v>41380</v>
      </c>
      <c r="O8" s="5">
        <v>41676</v>
      </c>
      <c r="P8" s="4">
        <v>45.35</v>
      </c>
      <c r="Q8" s="4">
        <v>49.54</v>
      </c>
      <c r="R8" s="3"/>
      <c r="S8" s="7" t="s">
        <v>823</v>
      </c>
    </row>
    <row r="9" spans="1:19" ht="70.2" customHeight="1" x14ac:dyDescent="0.3">
      <c r="A9" s="3" t="s">
        <v>602</v>
      </c>
      <c r="B9" s="3" t="s">
        <v>603</v>
      </c>
      <c r="C9" s="3" t="s">
        <v>824</v>
      </c>
      <c r="D9" s="3" t="s">
        <v>825</v>
      </c>
      <c r="E9" s="3" t="s">
        <v>183</v>
      </c>
      <c r="F9" s="3" t="s">
        <v>826</v>
      </c>
      <c r="G9" s="3" t="s">
        <v>144</v>
      </c>
      <c r="H9" s="3" t="s">
        <v>765</v>
      </c>
      <c r="I9" s="4">
        <v>14913362760</v>
      </c>
      <c r="J9" s="4">
        <v>0</v>
      </c>
      <c r="K9" s="4">
        <v>14913362760</v>
      </c>
      <c r="L9" s="5">
        <v>41907</v>
      </c>
      <c r="M9" s="5"/>
      <c r="N9" s="5">
        <v>42990</v>
      </c>
      <c r="O9" s="5">
        <v>42023</v>
      </c>
      <c r="P9" s="4">
        <v>99.99</v>
      </c>
      <c r="Q9" s="4">
        <v>99.56</v>
      </c>
      <c r="R9" s="3"/>
      <c r="S9" s="7" t="s">
        <v>398</v>
      </c>
    </row>
    <row r="10" spans="1:19" ht="70.2" customHeight="1" x14ac:dyDescent="0.3">
      <c r="A10" s="3" t="s">
        <v>604</v>
      </c>
      <c r="B10" s="3" t="s">
        <v>605</v>
      </c>
      <c r="C10" s="3" t="s">
        <v>827</v>
      </c>
      <c r="D10" s="3" t="s">
        <v>828</v>
      </c>
      <c r="E10" s="3" t="s">
        <v>183</v>
      </c>
      <c r="F10" s="3" t="s">
        <v>829</v>
      </c>
      <c r="G10" s="3" t="s">
        <v>144</v>
      </c>
      <c r="H10" s="3" t="s">
        <v>758</v>
      </c>
      <c r="I10" s="4">
        <v>7037696704</v>
      </c>
      <c r="J10" s="4">
        <v>700920310</v>
      </c>
      <c r="K10" s="4">
        <v>7738617014</v>
      </c>
      <c r="L10" s="5">
        <v>41907</v>
      </c>
      <c r="M10" s="5"/>
      <c r="N10" s="5">
        <v>42006</v>
      </c>
      <c r="O10" s="5">
        <v>42060</v>
      </c>
      <c r="P10" s="4">
        <v>100</v>
      </c>
      <c r="Q10" s="4">
        <v>85.88</v>
      </c>
      <c r="R10" s="3"/>
      <c r="S10" s="7" t="s">
        <v>8</v>
      </c>
    </row>
    <row r="11" spans="1:19" ht="70.2" customHeight="1" x14ac:dyDescent="0.3">
      <c r="A11" s="3" t="s">
        <v>606</v>
      </c>
      <c r="B11" s="3" t="s">
        <v>607</v>
      </c>
      <c r="C11" s="3" t="s">
        <v>830</v>
      </c>
      <c r="D11" s="3" t="s">
        <v>831</v>
      </c>
      <c r="E11" s="3" t="s">
        <v>156</v>
      </c>
      <c r="F11" s="3" t="s">
        <v>197</v>
      </c>
      <c r="G11" s="3" t="s">
        <v>144</v>
      </c>
      <c r="H11" s="3" t="s">
        <v>758</v>
      </c>
      <c r="I11" s="4">
        <v>13800000000</v>
      </c>
      <c r="J11" s="4">
        <v>2151400000</v>
      </c>
      <c r="K11" s="4">
        <v>15951400000</v>
      </c>
      <c r="L11" s="5">
        <v>41789</v>
      </c>
      <c r="M11" s="5"/>
      <c r="N11" s="5">
        <v>44936</v>
      </c>
      <c r="O11" s="5">
        <v>42128</v>
      </c>
      <c r="P11" s="4">
        <v>95.56</v>
      </c>
      <c r="Q11" s="4">
        <v>89.9</v>
      </c>
      <c r="R11" s="3"/>
      <c r="S11" s="7" t="s">
        <v>39</v>
      </c>
    </row>
    <row r="12" spans="1:19" ht="70.2" customHeight="1" x14ac:dyDescent="0.3">
      <c r="A12" s="3" t="s">
        <v>608</v>
      </c>
      <c r="B12" s="3" t="s">
        <v>609</v>
      </c>
      <c r="C12" s="3" t="s">
        <v>832</v>
      </c>
      <c r="D12" s="3" t="s">
        <v>833</v>
      </c>
      <c r="E12" s="3" t="s">
        <v>183</v>
      </c>
      <c r="F12" s="3" t="s">
        <v>834</v>
      </c>
      <c r="G12" s="3" t="s">
        <v>144</v>
      </c>
      <c r="H12" s="3" t="s">
        <v>758</v>
      </c>
      <c r="I12" s="4">
        <v>16094650077</v>
      </c>
      <c r="J12" s="4">
        <v>312767700</v>
      </c>
      <c r="K12" s="4">
        <v>16407417777</v>
      </c>
      <c r="L12" s="5">
        <v>43389</v>
      </c>
      <c r="M12" s="5"/>
      <c r="N12" s="5">
        <v>43495</v>
      </c>
      <c r="O12" s="5">
        <v>43865</v>
      </c>
      <c r="P12" s="4">
        <v>99.69</v>
      </c>
      <c r="Q12" s="4">
        <v>97.78</v>
      </c>
      <c r="R12" s="3"/>
      <c r="S12" s="7" t="s">
        <v>5</v>
      </c>
    </row>
    <row r="13" spans="1:19" ht="70.2" customHeight="1" x14ac:dyDescent="0.3">
      <c r="A13" s="3" t="s">
        <v>610</v>
      </c>
      <c r="B13" s="3" t="s">
        <v>611</v>
      </c>
      <c r="C13" s="3" t="s">
        <v>835</v>
      </c>
      <c r="D13" s="3" t="s">
        <v>836</v>
      </c>
      <c r="E13" s="3" t="s">
        <v>183</v>
      </c>
      <c r="F13" s="3" t="s">
        <v>837</v>
      </c>
      <c r="G13" s="3" t="s">
        <v>144</v>
      </c>
      <c r="H13" s="3" t="s">
        <v>838</v>
      </c>
      <c r="I13" s="4">
        <v>54337268559</v>
      </c>
      <c r="J13" s="4">
        <v>8559008426</v>
      </c>
      <c r="K13" s="4">
        <v>62896276985</v>
      </c>
      <c r="L13" s="5">
        <v>43165</v>
      </c>
      <c r="M13" s="5"/>
      <c r="N13" s="5">
        <v>43171</v>
      </c>
      <c r="O13" s="5">
        <v>43410</v>
      </c>
      <c r="P13" s="4">
        <v>100</v>
      </c>
      <c r="Q13" s="4">
        <v>99.87</v>
      </c>
      <c r="R13" s="3"/>
      <c r="S13" s="7" t="s">
        <v>839</v>
      </c>
    </row>
    <row r="14" spans="1:19" ht="70.2" customHeight="1" x14ac:dyDescent="0.3">
      <c r="A14" s="3" t="s">
        <v>612</v>
      </c>
      <c r="B14" s="3" t="s">
        <v>613</v>
      </c>
      <c r="C14" s="3" t="s">
        <v>840</v>
      </c>
      <c r="D14" s="3" t="s">
        <v>841</v>
      </c>
      <c r="E14" s="3" t="s">
        <v>183</v>
      </c>
      <c r="F14" s="3" t="s">
        <v>842</v>
      </c>
      <c r="G14" s="3" t="s">
        <v>175</v>
      </c>
      <c r="H14" s="3" t="s">
        <v>758</v>
      </c>
      <c r="I14" s="4">
        <v>5261488233</v>
      </c>
      <c r="J14" s="4">
        <v>100000000</v>
      </c>
      <c r="K14" s="4">
        <v>5361488233</v>
      </c>
      <c r="L14" s="5">
        <v>43636</v>
      </c>
      <c r="M14" s="5"/>
      <c r="N14" s="5">
        <v>43955</v>
      </c>
      <c r="O14" s="5">
        <v>44138</v>
      </c>
      <c r="P14" s="4">
        <v>97.82</v>
      </c>
      <c r="Q14" s="4">
        <v>95.45</v>
      </c>
      <c r="R14" s="3"/>
      <c r="S14" s="7" t="s">
        <v>39</v>
      </c>
    </row>
    <row r="15" spans="1:19" ht="70.2" customHeight="1" x14ac:dyDescent="0.3">
      <c r="A15" s="3" t="s">
        <v>614</v>
      </c>
      <c r="B15" s="3" t="s">
        <v>615</v>
      </c>
      <c r="C15" s="3" t="s">
        <v>843</v>
      </c>
      <c r="D15" s="3" t="s">
        <v>844</v>
      </c>
      <c r="E15" s="3" t="s">
        <v>232</v>
      </c>
      <c r="F15" s="3" t="s">
        <v>147</v>
      </c>
      <c r="G15" s="3" t="s">
        <v>144</v>
      </c>
      <c r="H15" s="3" t="s">
        <v>758</v>
      </c>
      <c r="I15" s="4">
        <v>8077068482</v>
      </c>
      <c r="J15" s="4">
        <v>0</v>
      </c>
      <c r="K15" s="4">
        <v>8077068482</v>
      </c>
      <c r="L15" s="5">
        <v>43829</v>
      </c>
      <c r="M15" s="5"/>
      <c r="N15" s="5">
        <v>43843</v>
      </c>
      <c r="O15" s="5">
        <v>44042</v>
      </c>
      <c r="P15" s="4">
        <v>99.99</v>
      </c>
      <c r="Q15" s="4">
        <v>99.97</v>
      </c>
      <c r="R15" s="3"/>
      <c r="S15" s="7" t="s">
        <v>845</v>
      </c>
    </row>
    <row r="16" spans="1:19" ht="70.2" customHeight="1" x14ac:dyDescent="0.3">
      <c r="A16" s="3" t="s">
        <v>616</v>
      </c>
      <c r="B16" s="3" t="s">
        <v>617</v>
      </c>
      <c r="C16" s="3" t="s">
        <v>846</v>
      </c>
      <c r="D16" s="3" t="s">
        <v>847</v>
      </c>
      <c r="E16" s="3" t="s">
        <v>156</v>
      </c>
      <c r="F16" s="3" t="s">
        <v>197</v>
      </c>
      <c r="G16" s="3" t="s">
        <v>175</v>
      </c>
      <c r="H16" s="3" t="s">
        <v>765</v>
      </c>
      <c r="I16" s="4">
        <v>7750000000</v>
      </c>
      <c r="J16" s="4">
        <v>0</v>
      </c>
      <c r="K16" s="4">
        <v>7750000000</v>
      </c>
      <c r="L16" s="5">
        <v>43781</v>
      </c>
      <c r="M16" s="5"/>
      <c r="N16" s="5">
        <v>43809</v>
      </c>
      <c r="O16" s="5">
        <v>43831</v>
      </c>
      <c r="P16" s="4">
        <v>97.9</v>
      </c>
      <c r="Q16" s="4">
        <v>97.25</v>
      </c>
      <c r="R16" s="3"/>
      <c r="S16" s="7" t="s">
        <v>848</v>
      </c>
    </row>
    <row r="17" spans="1:19" ht="70.2" customHeight="1" x14ac:dyDescent="0.3">
      <c r="A17" s="3" t="s">
        <v>618</v>
      </c>
      <c r="B17" s="3" t="s">
        <v>619</v>
      </c>
      <c r="C17" s="3" t="s">
        <v>849</v>
      </c>
      <c r="D17" s="3" t="s">
        <v>850</v>
      </c>
      <c r="E17" s="3" t="s">
        <v>156</v>
      </c>
      <c r="F17" s="3" t="s">
        <v>197</v>
      </c>
      <c r="G17" s="3" t="s">
        <v>175</v>
      </c>
      <c r="H17" s="3" t="s">
        <v>794</v>
      </c>
      <c r="I17" s="4">
        <v>1027100000</v>
      </c>
      <c r="J17" s="4">
        <v>100575000</v>
      </c>
      <c r="K17" s="4">
        <v>1127675000</v>
      </c>
      <c r="L17" s="5">
        <v>43781</v>
      </c>
      <c r="M17" s="5"/>
      <c r="N17" s="5">
        <v>43948</v>
      </c>
      <c r="O17" s="5">
        <v>44223</v>
      </c>
      <c r="P17" s="4">
        <v>96.9</v>
      </c>
      <c r="Q17" s="4">
        <v>97.16</v>
      </c>
      <c r="R17" s="3"/>
      <c r="S17" s="7" t="s">
        <v>851</v>
      </c>
    </row>
    <row r="18" spans="1:19" ht="70.2" customHeight="1" x14ac:dyDescent="0.3">
      <c r="A18" s="3" t="s">
        <v>620</v>
      </c>
      <c r="B18" s="3" t="s">
        <v>621</v>
      </c>
      <c r="C18" s="3" t="s">
        <v>852</v>
      </c>
      <c r="D18" s="3" t="s">
        <v>853</v>
      </c>
      <c r="E18" s="3" t="s">
        <v>156</v>
      </c>
      <c r="F18" s="3" t="s">
        <v>197</v>
      </c>
      <c r="G18" s="3" t="s">
        <v>175</v>
      </c>
      <c r="H18" s="3" t="s">
        <v>765</v>
      </c>
      <c r="I18" s="4">
        <v>9491491960</v>
      </c>
      <c r="J18" s="4">
        <v>443750000</v>
      </c>
      <c r="K18" s="4">
        <v>9935241960</v>
      </c>
      <c r="L18" s="5">
        <v>43781</v>
      </c>
      <c r="M18" s="5"/>
      <c r="N18" s="5">
        <v>43872</v>
      </c>
      <c r="O18" s="5">
        <v>43979</v>
      </c>
      <c r="P18" s="4">
        <v>85.67</v>
      </c>
      <c r="Q18" s="4">
        <v>86.62</v>
      </c>
      <c r="R18" s="3"/>
      <c r="S18" s="7" t="s">
        <v>854</v>
      </c>
    </row>
    <row r="19" spans="1:19" ht="70.2" customHeight="1" x14ac:dyDescent="0.3">
      <c r="A19" s="3" t="s">
        <v>622</v>
      </c>
      <c r="B19" s="3" t="s">
        <v>623</v>
      </c>
      <c r="C19" s="3" t="s">
        <v>855</v>
      </c>
      <c r="D19" s="3" t="s">
        <v>856</v>
      </c>
      <c r="E19" s="3" t="s">
        <v>156</v>
      </c>
      <c r="F19" s="3" t="s">
        <v>197</v>
      </c>
      <c r="G19" s="3" t="s">
        <v>175</v>
      </c>
      <c r="H19" s="3" t="s">
        <v>765</v>
      </c>
      <c r="I19" s="4">
        <v>4024500000</v>
      </c>
      <c r="J19" s="4">
        <v>177500000</v>
      </c>
      <c r="K19" s="4">
        <v>4202000000</v>
      </c>
      <c r="L19" s="5">
        <v>43781</v>
      </c>
      <c r="M19" s="5"/>
      <c r="N19" s="5">
        <v>43812</v>
      </c>
      <c r="O19" s="5">
        <v>43958</v>
      </c>
      <c r="P19" s="4">
        <v>96.81</v>
      </c>
      <c r="Q19" s="4">
        <v>77.59</v>
      </c>
      <c r="R19" s="3"/>
      <c r="S19" s="7" t="s">
        <v>857</v>
      </c>
    </row>
    <row r="20" spans="1:19" ht="70.2" customHeight="1" x14ac:dyDescent="0.3">
      <c r="A20" s="3" t="s">
        <v>624</v>
      </c>
      <c r="B20" s="3" t="s">
        <v>625</v>
      </c>
      <c r="C20" s="3" t="s">
        <v>858</v>
      </c>
      <c r="D20" s="3" t="s">
        <v>859</v>
      </c>
      <c r="E20" s="3" t="s">
        <v>156</v>
      </c>
      <c r="F20" s="3" t="s">
        <v>159</v>
      </c>
      <c r="G20" s="3" t="s">
        <v>175</v>
      </c>
      <c r="H20" s="3" t="s">
        <v>765</v>
      </c>
      <c r="I20" s="4">
        <v>20233937500</v>
      </c>
      <c r="J20" s="4">
        <v>928127000</v>
      </c>
      <c r="K20" s="4">
        <v>21162064500</v>
      </c>
      <c r="L20" s="5">
        <v>43781</v>
      </c>
      <c r="M20" s="5"/>
      <c r="N20" s="5">
        <v>43902</v>
      </c>
      <c r="O20" s="5">
        <v>43943</v>
      </c>
      <c r="P20" s="4">
        <v>82.93</v>
      </c>
      <c r="Q20" s="4">
        <v>181.2</v>
      </c>
      <c r="R20" s="3"/>
      <c r="S20" s="7" t="s">
        <v>860</v>
      </c>
    </row>
    <row r="21" spans="1:19" ht="70.2" customHeight="1" x14ac:dyDescent="0.3">
      <c r="A21" s="3" t="s">
        <v>626</v>
      </c>
      <c r="B21" s="3" t="s">
        <v>627</v>
      </c>
      <c r="C21" s="3" t="s">
        <v>861</v>
      </c>
      <c r="D21" s="3" t="s">
        <v>862</v>
      </c>
      <c r="E21" s="3" t="s">
        <v>156</v>
      </c>
      <c r="F21" s="3" t="s">
        <v>159</v>
      </c>
      <c r="G21" s="3" t="s">
        <v>175</v>
      </c>
      <c r="H21" s="3" t="s">
        <v>765</v>
      </c>
      <c r="I21" s="4">
        <v>6524500000</v>
      </c>
      <c r="J21" s="4">
        <v>0</v>
      </c>
      <c r="K21" s="4">
        <v>6524500000</v>
      </c>
      <c r="L21" s="5">
        <v>43781</v>
      </c>
      <c r="M21" s="5"/>
      <c r="N21" s="5">
        <v>43969</v>
      </c>
      <c r="O21" s="5">
        <v>43949</v>
      </c>
      <c r="P21" s="4">
        <v>89.97</v>
      </c>
      <c r="Q21" s="4">
        <v>89.3</v>
      </c>
      <c r="R21" s="3"/>
      <c r="S21" s="7" t="s">
        <v>39</v>
      </c>
    </row>
    <row r="22" spans="1:19" ht="70.2" customHeight="1" x14ac:dyDescent="0.3">
      <c r="A22" s="3" t="s">
        <v>628</v>
      </c>
      <c r="B22" s="3" t="s">
        <v>629</v>
      </c>
      <c r="C22" s="3" t="s">
        <v>863</v>
      </c>
      <c r="D22" s="3" t="s">
        <v>864</v>
      </c>
      <c r="E22" s="3" t="s">
        <v>156</v>
      </c>
      <c r="F22" s="3" t="s">
        <v>197</v>
      </c>
      <c r="G22" s="3" t="s">
        <v>175</v>
      </c>
      <c r="H22" s="3" t="s">
        <v>765</v>
      </c>
      <c r="I22" s="4">
        <v>2500000000</v>
      </c>
      <c r="J22" s="4">
        <v>88750000</v>
      </c>
      <c r="K22" s="4">
        <v>2588750000</v>
      </c>
      <c r="L22" s="5">
        <v>43812</v>
      </c>
      <c r="M22" s="5"/>
      <c r="N22" s="5">
        <v>43902</v>
      </c>
      <c r="O22" s="5">
        <v>43938</v>
      </c>
      <c r="P22" s="4">
        <v>97.52</v>
      </c>
      <c r="Q22" s="4">
        <v>97.57</v>
      </c>
      <c r="R22" s="3"/>
      <c r="S22" s="7" t="s">
        <v>39</v>
      </c>
    </row>
    <row r="23" spans="1:19" ht="70.2" customHeight="1" x14ac:dyDescent="0.3">
      <c r="A23" s="3" t="s">
        <v>630</v>
      </c>
      <c r="B23" s="3" t="s">
        <v>631</v>
      </c>
      <c r="C23" s="3" t="s">
        <v>865</v>
      </c>
      <c r="D23" s="3" t="s">
        <v>866</v>
      </c>
      <c r="E23" s="3" t="s">
        <v>156</v>
      </c>
      <c r="F23" s="3" t="s">
        <v>197</v>
      </c>
      <c r="G23" s="3" t="s">
        <v>175</v>
      </c>
      <c r="H23" s="3" t="s">
        <v>765</v>
      </c>
      <c r="I23" s="4">
        <v>3500000000</v>
      </c>
      <c r="J23" s="4">
        <v>654449000</v>
      </c>
      <c r="K23" s="4">
        <v>4154449000</v>
      </c>
      <c r="L23" s="5">
        <v>43812</v>
      </c>
      <c r="M23" s="5"/>
      <c r="N23" s="5">
        <v>43864</v>
      </c>
      <c r="O23" s="5">
        <v>44742</v>
      </c>
      <c r="P23" s="4">
        <v>99</v>
      </c>
      <c r="Q23" s="4">
        <v>91.85</v>
      </c>
      <c r="R23" s="3"/>
      <c r="S23" s="7" t="s">
        <v>848</v>
      </c>
    </row>
    <row r="24" spans="1:19" ht="70.2" customHeight="1" x14ac:dyDescent="0.3">
      <c r="A24" s="3" t="s">
        <v>632</v>
      </c>
      <c r="B24" s="3" t="s">
        <v>633</v>
      </c>
      <c r="C24" s="3" t="s">
        <v>867</v>
      </c>
      <c r="D24" s="3" t="s">
        <v>868</v>
      </c>
      <c r="E24" s="3" t="s">
        <v>156</v>
      </c>
      <c r="F24" s="3" t="s">
        <v>197</v>
      </c>
      <c r="G24" s="3" t="s">
        <v>175</v>
      </c>
      <c r="H24" s="3" t="s">
        <v>765</v>
      </c>
      <c r="I24" s="4">
        <v>3250000000</v>
      </c>
      <c r="J24" s="4">
        <v>227139308</v>
      </c>
      <c r="K24" s="4">
        <v>3477139308</v>
      </c>
      <c r="L24" s="5">
        <v>43798</v>
      </c>
      <c r="M24" s="5"/>
      <c r="N24" s="5">
        <v>43882</v>
      </c>
      <c r="O24" s="5">
        <v>43957</v>
      </c>
      <c r="P24" s="4">
        <v>97.39</v>
      </c>
      <c r="Q24" s="4">
        <v>95.75</v>
      </c>
      <c r="R24" s="3"/>
      <c r="S24" s="7" t="s">
        <v>869</v>
      </c>
    </row>
    <row r="25" spans="1:19" ht="70.2" customHeight="1" x14ac:dyDescent="0.3">
      <c r="A25" s="3" t="s">
        <v>634</v>
      </c>
      <c r="B25" s="3" t="s">
        <v>635</v>
      </c>
      <c r="C25" s="3" t="s">
        <v>870</v>
      </c>
      <c r="D25" s="3" t="s">
        <v>871</v>
      </c>
      <c r="E25" s="3" t="s">
        <v>156</v>
      </c>
      <c r="F25" s="3" t="s">
        <v>197</v>
      </c>
      <c r="G25" s="3" t="s">
        <v>175</v>
      </c>
      <c r="H25" s="3" t="s">
        <v>765</v>
      </c>
      <c r="I25" s="4">
        <v>946000000</v>
      </c>
      <c r="J25" s="4">
        <v>44375000</v>
      </c>
      <c r="K25" s="4">
        <v>990375000</v>
      </c>
      <c r="L25" s="5">
        <v>43812</v>
      </c>
      <c r="M25" s="5"/>
      <c r="N25" s="5">
        <v>44043</v>
      </c>
      <c r="O25" s="5">
        <v>43991</v>
      </c>
      <c r="P25" s="4">
        <v>97.54</v>
      </c>
      <c r="Q25" s="4">
        <v>97.23</v>
      </c>
      <c r="R25" s="3"/>
      <c r="S25" s="7" t="s">
        <v>872</v>
      </c>
    </row>
    <row r="26" spans="1:19" ht="70.2" customHeight="1" x14ac:dyDescent="0.3">
      <c r="A26" s="3" t="s">
        <v>636</v>
      </c>
      <c r="B26" s="3" t="s">
        <v>637</v>
      </c>
      <c r="C26" s="3" t="s">
        <v>873</v>
      </c>
      <c r="D26" s="3" t="s">
        <v>874</v>
      </c>
      <c r="E26" s="3" t="s">
        <v>156</v>
      </c>
      <c r="F26" s="3" t="s">
        <v>197</v>
      </c>
      <c r="G26" s="3" t="s">
        <v>175</v>
      </c>
      <c r="H26" s="3" t="s">
        <v>765</v>
      </c>
      <c r="I26" s="4">
        <v>1943625000</v>
      </c>
      <c r="J26" s="4">
        <v>88750000</v>
      </c>
      <c r="K26" s="4">
        <v>2032375000</v>
      </c>
      <c r="L26" s="5">
        <v>43830</v>
      </c>
      <c r="M26" s="5"/>
      <c r="N26" s="5">
        <v>44025</v>
      </c>
      <c r="O26" s="5">
        <v>44046</v>
      </c>
      <c r="P26" s="4">
        <v>87.5</v>
      </c>
      <c r="Q26" s="4">
        <v>86.53</v>
      </c>
      <c r="R26" s="3"/>
      <c r="S26" s="7" t="s">
        <v>875</v>
      </c>
    </row>
    <row r="27" spans="1:19" ht="70.2" customHeight="1" x14ac:dyDescent="0.3">
      <c r="A27" s="3" t="s">
        <v>638</v>
      </c>
      <c r="B27" s="3" t="s">
        <v>639</v>
      </c>
      <c r="C27" s="3" t="s">
        <v>876</v>
      </c>
      <c r="D27" s="3" t="s">
        <v>877</v>
      </c>
      <c r="E27" s="3" t="s">
        <v>156</v>
      </c>
      <c r="F27" s="3" t="s">
        <v>197</v>
      </c>
      <c r="G27" s="3" t="s">
        <v>175</v>
      </c>
      <c r="H27" s="3" t="s">
        <v>765</v>
      </c>
      <c r="I27" s="4">
        <v>1999999962.27</v>
      </c>
      <c r="J27" s="4">
        <v>667064931.65999985</v>
      </c>
      <c r="K27" s="4">
        <v>2667064893.9299998</v>
      </c>
      <c r="L27" s="5">
        <v>44111</v>
      </c>
      <c r="M27" s="5"/>
      <c r="N27" s="5">
        <v>44319</v>
      </c>
      <c r="O27" s="5">
        <v>44448</v>
      </c>
      <c r="P27" s="4">
        <v>86.98</v>
      </c>
      <c r="Q27" s="4">
        <v>87.69</v>
      </c>
      <c r="R27" s="3"/>
      <c r="S27" s="7" t="s">
        <v>878</v>
      </c>
    </row>
    <row r="28" spans="1:19" ht="70.2" customHeight="1" x14ac:dyDescent="0.3">
      <c r="A28" s="3" t="s">
        <v>640</v>
      </c>
      <c r="B28" s="3" t="s">
        <v>641</v>
      </c>
      <c r="C28" s="3" t="s">
        <v>879</v>
      </c>
      <c r="D28" s="3" t="s">
        <v>880</v>
      </c>
      <c r="E28" s="3" t="s">
        <v>142</v>
      </c>
      <c r="F28" s="3" t="s">
        <v>881</v>
      </c>
      <c r="G28" s="3" t="s">
        <v>144</v>
      </c>
      <c r="H28" s="3" t="s">
        <v>758</v>
      </c>
      <c r="I28" s="4">
        <v>729826686</v>
      </c>
      <c r="J28" s="4">
        <v>465734861</v>
      </c>
      <c r="K28" s="4">
        <v>1195561547</v>
      </c>
      <c r="L28" s="5">
        <v>43825</v>
      </c>
      <c r="M28" s="5"/>
      <c r="N28" s="5">
        <v>43875</v>
      </c>
      <c r="O28" s="5">
        <v>44074</v>
      </c>
      <c r="P28" s="4">
        <v>100</v>
      </c>
      <c r="Q28" s="4">
        <v>99.24</v>
      </c>
      <c r="R28" s="3"/>
      <c r="S28" s="7" t="s">
        <v>16</v>
      </c>
    </row>
    <row r="29" spans="1:19" ht="70.2" customHeight="1" x14ac:dyDescent="0.3">
      <c r="A29" s="3" t="s">
        <v>642</v>
      </c>
      <c r="B29" s="3" t="s">
        <v>609</v>
      </c>
      <c r="C29" s="3" t="s">
        <v>882</v>
      </c>
      <c r="D29" s="3" t="s">
        <v>883</v>
      </c>
      <c r="E29" s="3" t="s">
        <v>358</v>
      </c>
      <c r="F29" s="3" t="s">
        <v>884</v>
      </c>
      <c r="G29" s="3" t="s">
        <v>144</v>
      </c>
      <c r="H29" s="3" t="s">
        <v>758</v>
      </c>
      <c r="I29" s="4">
        <v>37141732473</v>
      </c>
      <c r="J29" s="4">
        <v>0</v>
      </c>
      <c r="K29" s="4">
        <v>37141732473</v>
      </c>
      <c r="L29" s="5">
        <v>43812</v>
      </c>
      <c r="M29" s="5"/>
      <c r="N29" s="5">
        <v>43817</v>
      </c>
      <c r="O29" s="5">
        <v>44228</v>
      </c>
      <c r="P29" s="4">
        <v>99.87</v>
      </c>
      <c r="Q29" s="4">
        <v>97.75</v>
      </c>
      <c r="R29" s="3"/>
      <c r="S29" s="7" t="s">
        <v>5</v>
      </c>
    </row>
    <row r="30" spans="1:19" ht="70.2" customHeight="1" x14ac:dyDescent="0.3">
      <c r="A30" s="3" t="s">
        <v>643</v>
      </c>
      <c r="B30" s="3" t="s">
        <v>596</v>
      </c>
      <c r="C30" s="3" t="s">
        <v>885</v>
      </c>
      <c r="D30" s="3" t="s">
        <v>886</v>
      </c>
      <c r="E30" s="3" t="s">
        <v>183</v>
      </c>
      <c r="F30" s="3" t="s">
        <v>265</v>
      </c>
      <c r="G30" s="3" t="s">
        <v>175</v>
      </c>
      <c r="H30" s="3" t="s">
        <v>765</v>
      </c>
      <c r="I30" s="4">
        <v>22507978719</v>
      </c>
      <c r="J30" s="4">
        <v>0</v>
      </c>
      <c r="K30" s="4">
        <v>22507978719</v>
      </c>
      <c r="L30" s="5">
        <v>44536</v>
      </c>
      <c r="M30" s="5"/>
      <c r="N30" s="5">
        <v>44683</v>
      </c>
      <c r="O30" s="5">
        <v>44837</v>
      </c>
      <c r="P30" s="4">
        <v>97.89</v>
      </c>
      <c r="Q30" s="4">
        <v>93.98</v>
      </c>
      <c r="R30" s="3"/>
      <c r="S30" s="7" t="s">
        <v>15</v>
      </c>
    </row>
    <row r="31" spans="1:19" ht="70.2" customHeight="1" x14ac:dyDescent="0.3">
      <c r="A31" s="3" t="s">
        <v>644</v>
      </c>
      <c r="B31" s="3" t="s">
        <v>645</v>
      </c>
      <c r="C31" s="3" t="s">
        <v>887</v>
      </c>
      <c r="D31" s="3" t="s">
        <v>888</v>
      </c>
      <c r="E31" s="3" t="s">
        <v>183</v>
      </c>
      <c r="F31" s="3" t="s">
        <v>889</v>
      </c>
      <c r="G31" s="3" t="s">
        <v>308</v>
      </c>
      <c r="H31" s="3" t="s">
        <v>809</v>
      </c>
      <c r="I31" s="4">
        <v>38700180208.470001</v>
      </c>
      <c r="J31" s="4">
        <v>236000000</v>
      </c>
      <c r="K31" s="4">
        <v>38936180208.470001</v>
      </c>
      <c r="L31" s="5">
        <v>44195</v>
      </c>
      <c r="M31" s="5"/>
      <c r="N31" s="5">
        <v>44952</v>
      </c>
      <c r="O31" s="5">
        <v>44595</v>
      </c>
      <c r="P31" s="4">
        <v>100</v>
      </c>
      <c r="Q31" s="4">
        <v>100</v>
      </c>
      <c r="R31" s="3"/>
      <c r="S31" s="7" t="s">
        <v>890</v>
      </c>
    </row>
    <row r="32" spans="1:19" ht="70.2" customHeight="1" x14ac:dyDescent="0.3">
      <c r="A32" s="3" t="s">
        <v>646</v>
      </c>
      <c r="B32" s="3" t="s">
        <v>611</v>
      </c>
      <c r="C32" s="3" t="s">
        <v>891</v>
      </c>
      <c r="D32" s="3" t="s">
        <v>892</v>
      </c>
      <c r="E32" s="3" t="s">
        <v>183</v>
      </c>
      <c r="F32" s="3" t="s">
        <v>147</v>
      </c>
      <c r="G32" s="3" t="s">
        <v>144</v>
      </c>
      <c r="H32" s="3" t="s">
        <v>758</v>
      </c>
      <c r="I32" s="4">
        <v>75409582200</v>
      </c>
      <c r="J32" s="4">
        <v>0</v>
      </c>
      <c r="K32" s="4">
        <v>75409582200</v>
      </c>
      <c r="L32" s="5">
        <v>44195</v>
      </c>
      <c r="M32" s="5"/>
      <c r="N32" s="5">
        <v>44326</v>
      </c>
      <c r="O32" s="5">
        <v>44445</v>
      </c>
      <c r="P32" s="4">
        <v>99.33</v>
      </c>
      <c r="Q32" s="4">
        <v>99.73</v>
      </c>
      <c r="R32" s="3"/>
      <c r="S32" s="7" t="s">
        <v>893</v>
      </c>
    </row>
    <row r="33" spans="1:19" ht="70.2" customHeight="1" x14ac:dyDescent="0.3">
      <c r="A33" s="3" t="s">
        <v>647</v>
      </c>
      <c r="B33" s="3" t="s">
        <v>623</v>
      </c>
      <c r="C33" s="3" t="s">
        <v>894</v>
      </c>
      <c r="D33" s="3" t="s">
        <v>895</v>
      </c>
      <c r="E33" s="3" t="s">
        <v>156</v>
      </c>
      <c r="F33" s="3" t="s">
        <v>197</v>
      </c>
      <c r="G33" s="3" t="s">
        <v>144</v>
      </c>
      <c r="H33" s="3" t="s">
        <v>809</v>
      </c>
      <c r="I33" s="4">
        <v>1998000000</v>
      </c>
      <c r="J33" s="4">
        <v>416100000</v>
      </c>
      <c r="K33" s="4">
        <v>2414100000</v>
      </c>
      <c r="L33" s="5">
        <v>43950</v>
      </c>
      <c r="M33" s="5"/>
      <c r="N33" s="5">
        <v>44001</v>
      </c>
      <c r="O33" s="5">
        <v>44133</v>
      </c>
      <c r="P33" s="4">
        <v>100</v>
      </c>
      <c r="Q33" s="4">
        <v>100</v>
      </c>
      <c r="R33" s="3"/>
      <c r="S33" s="7" t="s">
        <v>896</v>
      </c>
    </row>
    <row r="34" spans="1:19" ht="70.2" customHeight="1" x14ac:dyDescent="0.3">
      <c r="A34" s="3" t="s">
        <v>648</v>
      </c>
      <c r="B34" s="3" t="s">
        <v>623</v>
      </c>
      <c r="C34" s="3" t="s">
        <v>897</v>
      </c>
      <c r="D34" s="3" t="s">
        <v>898</v>
      </c>
      <c r="E34" s="3" t="s">
        <v>156</v>
      </c>
      <c r="F34" s="3" t="s">
        <v>197</v>
      </c>
      <c r="G34" s="3" t="s">
        <v>144</v>
      </c>
      <c r="H34" s="3" t="s">
        <v>765</v>
      </c>
      <c r="I34" s="4">
        <v>1999306318</v>
      </c>
      <c r="J34" s="4">
        <v>1491009306.72</v>
      </c>
      <c r="K34" s="4">
        <v>3490315624.7199998</v>
      </c>
      <c r="L34" s="5">
        <v>43924</v>
      </c>
      <c r="M34" s="5"/>
      <c r="N34" s="5">
        <v>44001</v>
      </c>
      <c r="O34" s="5">
        <v>44118</v>
      </c>
      <c r="P34" s="4">
        <v>100</v>
      </c>
      <c r="Q34" s="4">
        <v>100</v>
      </c>
      <c r="R34" s="3"/>
      <c r="S34" s="7" t="s">
        <v>857</v>
      </c>
    </row>
    <row r="35" spans="1:19" ht="70.2" customHeight="1" x14ac:dyDescent="0.3">
      <c r="A35" s="3" t="s">
        <v>649</v>
      </c>
      <c r="B35" s="3" t="s">
        <v>650</v>
      </c>
      <c r="C35" s="3" t="s">
        <v>899</v>
      </c>
      <c r="D35" s="3" t="s">
        <v>900</v>
      </c>
      <c r="E35" s="3" t="s">
        <v>156</v>
      </c>
      <c r="F35" s="3" t="s">
        <v>197</v>
      </c>
      <c r="G35" s="3" t="s">
        <v>308</v>
      </c>
      <c r="H35" s="3" t="s">
        <v>809</v>
      </c>
      <c r="I35" s="4">
        <v>1999910691</v>
      </c>
      <c r="J35" s="4">
        <v>1839271262</v>
      </c>
      <c r="K35" s="4">
        <v>3839181953</v>
      </c>
      <c r="L35" s="5">
        <v>44078</v>
      </c>
      <c r="M35" s="5"/>
      <c r="N35" s="5">
        <v>45385</v>
      </c>
      <c r="O35" s="5">
        <v>44252</v>
      </c>
      <c r="P35" s="4">
        <v>99.9</v>
      </c>
      <c r="Q35" s="4">
        <v>100</v>
      </c>
      <c r="R35" s="3"/>
      <c r="S35" s="7" t="s">
        <v>901</v>
      </c>
    </row>
    <row r="36" spans="1:19" ht="70.2" customHeight="1" x14ac:dyDescent="0.3">
      <c r="A36" s="3" t="s">
        <v>651</v>
      </c>
      <c r="B36" s="3" t="s">
        <v>652</v>
      </c>
      <c r="C36" s="3" t="s">
        <v>902</v>
      </c>
      <c r="D36" s="3" t="s">
        <v>903</v>
      </c>
      <c r="E36" s="3" t="s">
        <v>156</v>
      </c>
      <c r="F36" s="3" t="s">
        <v>197</v>
      </c>
      <c r="G36" s="3" t="s">
        <v>175</v>
      </c>
      <c r="H36" s="3" t="s">
        <v>758</v>
      </c>
      <c r="I36" s="4">
        <v>1999433630</v>
      </c>
      <c r="J36" s="4">
        <v>931051170</v>
      </c>
      <c r="K36" s="4">
        <v>2930484800</v>
      </c>
      <c r="L36" s="5">
        <v>43924</v>
      </c>
      <c r="M36" s="5"/>
      <c r="N36" s="5">
        <v>44106</v>
      </c>
      <c r="O36" s="5">
        <v>44106</v>
      </c>
      <c r="P36" s="4">
        <v>100</v>
      </c>
      <c r="Q36" s="4">
        <v>99.14</v>
      </c>
      <c r="R36" s="3"/>
      <c r="S36" s="7" t="s">
        <v>848</v>
      </c>
    </row>
    <row r="37" spans="1:19" ht="70.2" customHeight="1" x14ac:dyDescent="0.3">
      <c r="A37" s="3" t="s">
        <v>653</v>
      </c>
      <c r="B37" s="3" t="s">
        <v>654</v>
      </c>
      <c r="C37" s="3" t="s">
        <v>904</v>
      </c>
      <c r="D37" s="3" t="s">
        <v>905</v>
      </c>
      <c r="E37" s="3" t="s">
        <v>156</v>
      </c>
      <c r="F37" s="3" t="s">
        <v>197</v>
      </c>
      <c r="G37" s="3" t="s">
        <v>175</v>
      </c>
      <c r="H37" s="3" t="s">
        <v>809</v>
      </c>
      <c r="I37" s="4">
        <v>1999976897</v>
      </c>
      <c r="J37" s="4">
        <v>612770516</v>
      </c>
      <c r="K37" s="4">
        <v>2612747413</v>
      </c>
      <c r="L37" s="5">
        <v>44078</v>
      </c>
      <c r="M37" s="5"/>
      <c r="N37" s="5">
        <v>44179</v>
      </c>
      <c r="O37" s="5">
        <v>44229</v>
      </c>
      <c r="P37" s="4">
        <v>65.69</v>
      </c>
      <c r="Q37" s="4">
        <v>76.930000000000007</v>
      </c>
      <c r="R37" s="3"/>
      <c r="S37" s="7" t="s">
        <v>906</v>
      </c>
    </row>
    <row r="38" spans="1:19" ht="70.2" customHeight="1" x14ac:dyDescent="0.3">
      <c r="A38" s="3" t="s">
        <v>655</v>
      </c>
      <c r="B38" s="3" t="s">
        <v>656</v>
      </c>
      <c r="C38" s="3" t="s">
        <v>907</v>
      </c>
      <c r="D38" s="3" t="s">
        <v>908</v>
      </c>
      <c r="E38" s="3" t="s">
        <v>156</v>
      </c>
      <c r="F38" s="3" t="s">
        <v>197</v>
      </c>
      <c r="G38" s="3" t="s">
        <v>144</v>
      </c>
      <c r="H38" s="3" t="s">
        <v>765</v>
      </c>
      <c r="I38" s="4">
        <v>1272365336</v>
      </c>
      <c r="J38" s="4">
        <v>643306000</v>
      </c>
      <c r="K38" s="4">
        <v>1915671336</v>
      </c>
      <c r="L38" s="5">
        <v>44078</v>
      </c>
      <c r="M38" s="5"/>
      <c r="N38" s="5"/>
      <c r="O38" s="5">
        <v>44421</v>
      </c>
      <c r="P38" s="4">
        <v>97.49</v>
      </c>
      <c r="Q38" s="4">
        <v>101.36</v>
      </c>
      <c r="R38" s="3"/>
      <c r="S38" s="7" t="s">
        <v>909</v>
      </c>
    </row>
    <row r="39" spans="1:19" ht="70.2" customHeight="1" x14ac:dyDescent="0.3">
      <c r="A39" s="3" t="s">
        <v>657</v>
      </c>
      <c r="B39" s="3" t="s">
        <v>658</v>
      </c>
      <c r="C39" s="3" t="s">
        <v>910</v>
      </c>
      <c r="D39" s="3" t="s">
        <v>911</v>
      </c>
      <c r="E39" s="3" t="s">
        <v>156</v>
      </c>
      <c r="F39" s="3" t="s">
        <v>197</v>
      </c>
      <c r="G39" s="3" t="s">
        <v>175</v>
      </c>
      <c r="H39" s="3" t="s">
        <v>809</v>
      </c>
      <c r="I39" s="4">
        <v>1999833255</v>
      </c>
      <c r="J39" s="4">
        <v>948213920</v>
      </c>
      <c r="K39" s="4">
        <v>2948047175</v>
      </c>
      <c r="L39" s="5">
        <v>44078</v>
      </c>
      <c r="M39" s="5"/>
      <c r="N39" s="5">
        <v>44113</v>
      </c>
      <c r="O39" s="5">
        <v>44408</v>
      </c>
      <c r="P39" s="4">
        <v>99.95</v>
      </c>
      <c r="Q39" s="4">
        <v>99.96</v>
      </c>
      <c r="R39" s="3"/>
      <c r="S39" s="7" t="s">
        <v>912</v>
      </c>
    </row>
    <row r="40" spans="1:19" ht="70.2" customHeight="1" x14ac:dyDescent="0.3">
      <c r="A40" s="3" t="s">
        <v>659</v>
      </c>
      <c r="B40" s="3" t="s">
        <v>660</v>
      </c>
      <c r="C40" s="3" t="s">
        <v>913</v>
      </c>
      <c r="D40" s="3" t="s">
        <v>914</v>
      </c>
      <c r="E40" s="3" t="s">
        <v>156</v>
      </c>
      <c r="F40" s="3" t="s">
        <v>197</v>
      </c>
      <c r="G40" s="3" t="s">
        <v>144</v>
      </c>
      <c r="H40" s="3" t="s">
        <v>809</v>
      </c>
      <c r="I40" s="4">
        <v>6559568533</v>
      </c>
      <c r="J40" s="4">
        <v>288576987</v>
      </c>
      <c r="K40" s="4">
        <v>6848145520</v>
      </c>
      <c r="L40" s="5">
        <v>44159</v>
      </c>
      <c r="M40" s="5"/>
      <c r="N40" s="5">
        <v>44337</v>
      </c>
      <c r="O40" s="5">
        <v>44410</v>
      </c>
      <c r="P40" s="4">
        <v>100</v>
      </c>
      <c r="Q40" s="4">
        <v>98.42</v>
      </c>
      <c r="R40" s="3"/>
      <c r="S40" s="7" t="s">
        <v>39</v>
      </c>
    </row>
    <row r="41" spans="1:19" ht="70.2" customHeight="1" x14ac:dyDescent="0.3">
      <c r="A41" s="3" t="s">
        <v>661</v>
      </c>
      <c r="B41" s="3" t="s">
        <v>650</v>
      </c>
      <c r="C41" s="3" t="s">
        <v>915</v>
      </c>
      <c r="D41" s="3" t="s">
        <v>916</v>
      </c>
      <c r="E41" s="3" t="s">
        <v>156</v>
      </c>
      <c r="F41" s="3" t="s">
        <v>197</v>
      </c>
      <c r="G41" s="3" t="s">
        <v>175</v>
      </c>
      <c r="H41" s="3" t="s">
        <v>794</v>
      </c>
      <c r="I41" s="4">
        <v>1998890586.73</v>
      </c>
      <c r="J41" s="4">
        <v>899995425.88000011</v>
      </c>
      <c r="K41" s="4">
        <v>2898886012.6100001</v>
      </c>
      <c r="L41" s="5">
        <v>44078</v>
      </c>
      <c r="M41" s="5"/>
      <c r="N41" s="5">
        <v>44386</v>
      </c>
      <c r="O41" s="5">
        <v>44335</v>
      </c>
      <c r="P41" s="4">
        <v>98.23</v>
      </c>
      <c r="Q41" s="4">
        <v>98.28</v>
      </c>
      <c r="R41" s="3"/>
      <c r="S41" s="7" t="s">
        <v>917</v>
      </c>
    </row>
    <row r="42" spans="1:19" ht="70.2" customHeight="1" x14ac:dyDescent="0.3">
      <c r="A42" s="3" t="s">
        <v>662</v>
      </c>
      <c r="B42" s="3" t="s">
        <v>654</v>
      </c>
      <c r="C42" s="3" t="s">
        <v>918</v>
      </c>
      <c r="D42" s="3" t="s">
        <v>919</v>
      </c>
      <c r="E42" s="3" t="s">
        <v>156</v>
      </c>
      <c r="F42" s="3" t="s">
        <v>197</v>
      </c>
      <c r="G42" s="3" t="s">
        <v>308</v>
      </c>
      <c r="H42" s="3" t="s">
        <v>809</v>
      </c>
      <c r="I42" s="4">
        <v>5347795060</v>
      </c>
      <c r="J42" s="4">
        <v>1233838703</v>
      </c>
      <c r="K42" s="4">
        <v>6581633763</v>
      </c>
      <c r="L42" s="5">
        <v>43966</v>
      </c>
      <c r="M42" s="5"/>
      <c r="N42" s="5">
        <v>43978</v>
      </c>
      <c r="O42" s="5">
        <v>44097</v>
      </c>
      <c r="P42" s="4">
        <v>99.17</v>
      </c>
      <c r="Q42" s="4">
        <v>99.17</v>
      </c>
      <c r="R42" s="3"/>
      <c r="S42" s="7" t="s">
        <v>39</v>
      </c>
    </row>
    <row r="43" spans="1:19" ht="70.2" customHeight="1" x14ac:dyDescent="0.3">
      <c r="A43" s="3" t="s">
        <v>663</v>
      </c>
      <c r="B43" s="3" t="s">
        <v>639</v>
      </c>
      <c r="C43" s="3" t="s">
        <v>920</v>
      </c>
      <c r="D43" s="3" t="s">
        <v>921</v>
      </c>
      <c r="E43" s="3" t="s">
        <v>156</v>
      </c>
      <c r="F43" s="3" t="s">
        <v>197</v>
      </c>
      <c r="G43" s="3" t="s">
        <v>175</v>
      </c>
      <c r="H43" s="3" t="s">
        <v>809</v>
      </c>
      <c r="I43" s="4">
        <v>1965295196.9400001</v>
      </c>
      <c r="J43" s="4">
        <v>2166508826.73</v>
      </c>
      <c r="K43" s="4">
        <v>4131804023.6700001</v>
      </c>
      <c r="L43" s="5">
        <v>44078</v>
      </c>
      <c r="M43" s="5"/>
      <c r="N43" s="5"/>
      <c r="O43" s="5">
        <v>44421</v>
      </c>
      <c r="P43" s="4">
        <v>96.47</v>
      </c>
      <c r="Q43" s="4">
        <v>102.12</v>
      </c>
      <c r="R43" s="3"/>
      <c r="S43" s="7" t="s">
        <v>490</v>
      </c>
    </row>
    <row r="44" spans="1:19" ht="70.2" customHeight="1" x14ac:dyDescent="0.3">
      <c r="A44" s="3" t="s">
        <v>664</v>
      </c>
      <c r="B44" s="3" t="s">
        <v>654</v>
      </c>
      <c r="C44" s="3" t="s">
        <v>922</v>
      </c>
      <c r="D44" s="3" t="s">
        <v>923</v>
      </c>
      <c r="E44" s="3" t="s">
        <v>156</v>
      </c>
      <c r="F44" s="3" t="s">
        <v>197</v>
      </c>
      <c r="G44" s="3" t="s">
        <v>175</v>
      </c>
      <c r="H44" s="3" t="s">
        <v>765</v>
      </c>
      <c r="I44" s="4">
        <v>8764697664</v>
      </c>
      <c r="J44" s="4">
        <v>1543666900</v>
      </c>
      <c r="K44" s="4">
        <v>10308364564</v>
      </c>
      <c r="L44" s="5">
        <v>44432</v>
      </c>
      <c r="M44" s="5"/>
      <c r="N44" s="5">
        <v>44480</v>
      </c>
      <c r="O44" s="5">
        <v>44502</v>
      </c>
      <c r="P44" s="4">
        <v>89.91</v>
      </c>
      <c r="Q44" s="4">
        <v>90.22</v>
      </c>
      <c r="R44" s="3"/>
      <c r="S44" s="7" t="s">
        <v>5</v>
      </c>
    </row>
    <row r="45" spans="1:19" ht="70.2" customHeight="1" x14ac:dyDescent="0.3">
      <c r="A45" s="3" t="s">
        <v>665</v>
      </c>
      <c r="B45" s="3" t="s">
        <v>666</v>
      </c>
      <c r="C45" s="3" t="s">
        <v>924</v>
      </c>
      <c r="D45" s="3" t="s">
        <v>925</v>
      </c>
      <c r="E45" s="3" t="s">
        <v>156</v>
      </c>
      <c r="F45" s="3" t="s">
        <v>197</v>
      </c>
      <c r="G45" s="3" t="s">
        <v>144</v>
      </c>
      <c r="H45" s="3" t="s">
        <v>809</v>
      </c>
      <c r="I45" s="4">
        <v>1349000868</v>
      </c>
      <c r="J45" s="4">
        <v>60240000</v>
      </c>
      <c r="K45" s="4">
        <v>1409240868</v>
      </c>
      <c r="L45" s="5">
        <v>44111</v>
      </c>
      <c r="M45" s="5"/>
      <c r="N45" s="5">
        <v>44568</v>
      </c>
      <c r="O45" s="5">
        <v>44594</v>
      </c>
      <c r="P45" s="4">
        <v>100</v>
      </c>
      <c r="Q45" s="4">
        <v>90.65</v>
      </c>
      <c r="R45" s="3"/>
      <c r="S45" s="7" t="s">
        <v>39</v>
      </c>
    </row>
    <row r="46" spans="1:19" ht="70.2" customHeight="1" x14ac:dyDescent="0.3">
      <c r="A46" s="3" t="s">
        <v>667</v>
      </c>
      <c r="B46" s="3" t="s">
        <v>668</v>
      </c>
      <c r="C46" s="3" t="s">
        <v>926</v>
      </c>
      <c r="D46" s="3" t="s">
        <v>927</v>
      </c>
      <c r="E46" s="3" t="s">
        <v>156</v>
      </c>
      <c r="F46" s="3" t="s">
        <v>197</v>
      </c>
      <c r="G46" s="3" t="s">
        <v>144</v>
      </c>
      <c r="H46" s="3" t="s">
        <v>809</v>
      </c>
      <c r="I46" s="4">
        <v>3106000000</v>
      </c>
      <c r="J46" s="4">
        <v>50000000</v>
      </c>
      <c r="K46" s="4">
        <v>3156000000</v>
      </c>
      <c r="L46" s="5">
        <v>44159</v>
      </c>
      <c r="M46" s="5"/>
      <c r="N46" s="5">
        <v>44235</v>
      </c>
      <c r="O46" s="5">
        <v>44327</v>
      </c>
      <c r="P46" s="4">
        <v>100</v>
      </c>
      <c r="Q46" s="4">
        <v>93.32</v>
      </c>
      <c r="R46" s="3"/>
      <c r="S46" s="7" t="s">
        <v>5</v>
      </c>
    </row>
    <row r="47" spans="1:19" ht="70.2" customHeight="1" x14ac:dyDescent="0.3">
      <c r="A47" s="3" t="s">
        <v>669</v>
      </c>
      <c r="B47" s="3" t="s">
        <v>631</v>
      </c>
      <c r="C47" s="3" t="s">
        <v>928</v>
      </c>
      <c r="D47" s="3" t="s">
        <v>929</v>
      </c>
      <c r="E47" s="3" t="s">
        <v>156</v>
      </c>
      <c r="F47" s="3" t="s">
        <v>197</v>
      </c>
      <c r="G47" s="3" t="s">
        <v>144</v>
      </c>
      <c r="H47" s="3" t="s">
        <v>794</v>
      </c>
      <c r="I47" s="4">
        <v>8995267958.5699997</v>
      </c>
      <c r="J47" s="4">
        <v>182146495.4899998</v>
      </c>
      <c r="K47" s="4">
        <v>9177414454.0599995</v>
      </c>
      <c r="L47" s="5">
        <v>44159</v>
      </c>
      <c r="M47" s="5"/>
      <c r="N47" s="5">
        <v>44263</v>
      </c>
      <c r="O47" s="5">
        <v>44365</v>
      </c>
      <c r="P47" s="4">
        <v>100</v>
      </c>
      <c r="Q47" s="4">
        <v>100</v>
      </c>
      <c r="R47" s="3"/>
      <c r="S47" s="7" t="s">
        <v>930</v>
      </c>
    </row>
    <row r="48" spans="1:19" ht="70.2" customHeight="1" x14ac:dyDescent="0.3">
      <c r="A48" s="3" t="s">
        <v>670</v>
      </c>
      <c r="B48" s="3" t="s">
        <v>671</v>
      </c>
      <c r="C48" s="3" t="s">
        <v>931</v>
      </c>
      <c r="D48" s="3" t="s">
        <v>932</v>
      </c>
      <c r="E48" s="3" t="s">
        <v>156</v>
      </c>
      <c r="F48" s="3" t="s">
        <v>197</v>
      </c>
      <c r="G48" s="3" t="s">
        <v>175</v>
      </c>
      <c r="H48" s="3" t="s">
        <v>765</v>
      </c>
      <c r="I48" s="4">
        <v>6750000000</v>
      </c>
      <c r="J48" s="4">
        <v>170233499</v>
      </c>
      <c r="K48" s="4">
        <v>6920233499</v>
      </c>
      <c r="L48" s="5">
        <v>44330</v>
      </c>
      <c r="M48" s="5"/>
      <c r="N48" s="5">
        <v>44362</v>
      </c>
      <c r="O48" s="5">
        <v>44404</v>
      </c>
      <c r="P48" s="4">
        <v>83</v>
      </c>
      <c r="Q48" s="4">
        <v>86.25</v>
      </c>
      <c r="R48" s="3"/>
      <c r="S48" s="7" t="s">
        <v>848</v>
      </c>
    </row>
    <row r="49" spans="1:19" ht="70.2" customHeight="1" x14ac:dyDescent="0.3">
      <c r="A49" s="3" t="s">
        <v>672</v>
      </c>
      <c r="B49" s="3" t="s">
        <v>658</v>
      </c>
      <c r="C49" s="3" t="s">
        <v>933</v>
      </c>
      <c r="D49" s="3" t="s">
        <v>934</v>
      </c>
      <c r="E49" s="3" t="s">
        <v>156</v>
      </c>
      <c r="F49" s="3" t="s">
        <v>197</v>
      </c>
      <c r="G49" s="3" t="s">
        <v>175</v>
      </c>
      <c r="H49" s="3" t="s">
        <v>809</v>
      </c>
      <c r="I49" s="4">
        <v>1998157618.8800001</v>
      </c>
      <c r="J49" s="4">
        <v>469735103.82999992</v>
      </c>
      <c r="K49" s="4">
        <v>2467892722.71</v>
      </c>
      <c r="L49" s="5">
        <v>44159</v>
      </c>
      <c r="M49" s="5"/>
      <c r="N49" s="5">
        <v>44259</v>
      </c>
      <c r="O49" s="5">
        <v>44567</v>
      </c>
      <c r="P49" s="4">
        <v>98.06</v>
      </c>
      <c r="Q49" s="4">
        <v>98.13</v>
      </c>
      <c r="R49" s="3"/>
      <c r="S49" s="7" t="s">
        <v>935</v>
      </c>
    </row>
    <row r="50" spans="1:19" ht="70.2" customHeight="1" x14ac:dyDescent="0.3">
      <c r="A50" s="3" t="s">
        <v>673</v>
      </c>
      <c r="B50" s="3" t="s">
        <v>623</v>
      </c>
      <c r="C50" s="3" t="s">
        <v>936</v>
      </c>
      <c r="D50" s="3" t="s">
        <v>937</v>
      </c>
      <c r="E50" s="3" t="s">
        <v>156</v>
      </c>
      <c r="F50" s="3" t="s">
        <v>197</v>
      </c>
      <c r="G50" s="3" t="s">
        <v>175</v>
      </c>
      <c r="H50" s="3" t="s">
        <v>765</v>
      </c>
      <c r="I50" s="4">
        <v>2000000000</v>
      </c>
      <c r="J50" s="4">
        <v>474185221</v>
      </c>
      <c r="K50" s="4">
        <v>2474185221</v>
      </c>
      <c r="L50" s="5">
        <v>44159</v>
      </c>
      <c r="M50" s="5"/>
      <c r="N50" s="5">
        <v>44246</v>
      </c>
      <c r="O50" s="5">
        <v>44337</v>
      </c>
      <c r="P50" s="4">
        <v>100.2</v>
      </c>
      <c r="Q50" s="4">
        <v>100</v>
      </c>
      <c r="R50" s="3"/>
      <c r="S50" s="7" t="s">
        <v>938</v>
      </c>
    </row>
    <row r="51" spans="1:19" ht="70.2" customHeight="1" x14ac:dyDescent="0.3">
      <c r="A51" s="3" t="s">
        <v>674</v>
      </c>
      <c r="B51" s="3" t="s">
        <v>675</v>
      </c>
      <c r="C51" s="3" t="s">
        <v>939</v>
      </c>
      <c r="D51" s="3" t="s">
        <v>940</v>
      </c>
      <c r="E51" s="3" t="s">
        <v>156</v>
      </c>
      <c r="F51" s="3" t="s">
        <v>197</v>
      </c>
      <c r="G51" s="3" t="s">
        <v>175</v>
      </c>
      <c r="H51" s="3" t="s">
        <v>765</v>
      </c>
      <c r="I51" s="4">
        <v>5335769261</v>
      </c>
      <c r="J51" s="4">
        <v>577300853</v>
      </c>
      <c r="K51" s="4">
        <v>5913070114</v>
      </c>
      <c r="L51" s="5">
        <v>44348</v>
      </c>
      <c r="M51" s="5"/>
      <c r="N51" s="5"/>
      <c r="O51" s="5">
        <v>44427</v>
      </c>
      <c r="P51" s="4">
        <v>65.84</v>
      </c>
      <c r="Q51" s="4">
        <v>65.83</v>
      </c>
      <c r="R51" s="3"/>
      <c r="S51" s="7" t="s">
        <v>854</v>
      </c>
    </row>
    <row r="52" spans="1:19" ht="70.2" customHeight="1" x14ac:dyDescent="0.3">
      <c r="A52" s="3" t="s">
        <v>676</v>
      </c>
      <c r="B52" s="3" t="s">
        <v>658</v>
      </c>
      <c r="C52" s="3" t="s">
        <v>941</v>
      </c>
      <c r="D52" s="3" t="s">
        <v>942</v>
      </c>
      <c r="E52" s="3" t="s">
        <v>156</v>
      </c>
      <c r="F52" s="3" t="s">
        <v>197</v>
      </c>
      <c r="G52" s="3" t="s">
        <v>175</v>
      </c>
      <c r="H52" s="3" t="s">
        <v>809</v>
      </c>
      <c r="I52" s="4">
        <v>4940449374</v>
      </c>
      <c r="J52" s="4">
        <v>263481086</v>
      </c>
      <c r="K52" s="4">
        <v>5203930460</v>
      </c>
      <c r="L52" s="5">
        <v>44432</v>
      </c>
      <c r="M52" s="5"/>
      <c r="N52" s="5">
        <v>44480</v>
      </c>
      <c r="O52" s="5">
        <v>44517</v>
      </c>
      <c r="P52" s="4">
        <v>99.7</v>
      </c>
      <c r="Q52" s="4">
        <v>99.91</v>
      </c>
      <c r="R52" s="3"/>
      <c r="S52" s="7" t="s">
        <v>943</v>
      </c>
    </row>
    <row r="53" spans="1:19" ht="70.2" customHeight="1" x14ac:dyDescent="0.3">
      <c r="A53" s="3" t="s">
        <v>677</v>
      </c>
      <c r="B53" s="3" t="s">
        <v>623</v>
      </c>
      <c r="C53" s="3" t="s">
        <v>944</v>
      </c>
      <c r="D53" s="3" t="s">
        <v>945</v>
      </c>
      <c r="E53" s="3" t="s">
        <v>156</v>
      </c>
      <c r="F53" s="3" t="s">
        <v>197</v>
      </c>
      <c r="G53" s="3" t="s">
        <v>144</v>
      </c>
      <c r="H53" s="3" t="s">
        <v>794</v>
      </c>
      <c r="I53" s="4">
        <v>1999924866</v>
      </c>
      <c r="J53" s="4">
        <v>1559283349</v>
      </c>
      <c r="K53" s="4">
        <v>3559208215</v>
      </c>
      <c r="L53" s="5">
        <v>44159</v>
      </c>
      <c r="M53" s="5"/>
      <c r="N53" s="5">
        <v>44246</v>
      </c>
      <c r="O53" s="5">
        <v>44341</v>
      </c>
      <c r="P53" s="4">
        <v>100.03</v>
      </c>
      <c r="Q53" s="4">
        <v>87.3</v>
      </c>
      <c r="R53" s="3"/>
      <c r="S53" s="7" t="s">
        <v>946</v>
      </c>
    </row>
    <row r="54" spans="1:19" ht="70.2" customHeight="1" x14ac:dyDescent="0.3">
      <c r="A54" s="3" t="s">
        <v>678</v>
      </c>
      <c r="B54" s="3" t="s">
        <v>623</v>
      </c>
      <c r="C54" s="3" t="s">
        <v>947</v>
      </c>
      <c r="D54" s="3" t="s">
        <v>948</v>
      </c>
      <c r="E54" s="3" t="s">
        <v>156</v>
      </c>
      <c r="F54" s="3" t="s">
        <v>197</v>
      </c>
      <c r="G54" s="3" t="s">
        <v>175</v>
      </c>
      <c r="H54" s="3" t="s">
        <v>765</v>
      </c>
      <c r="I54" s="4">
        <v>3591118773</v>
      </c>
      <c r="J54" s="4">
        <v>177500000</v>
      </c>
      <c r="K54" s="4">
        <v>3768618773</v>
      </c>
      <c r="L54" s="5">
        <v>44330</v>
      </c>
      <c r="M54" s="5"/>
      <c r="N54" s="5">
        <v>44393</v>
      </c>
      <c r="O54" s="5">
        <v>44418</v>
      </c>
      <c r="P54" s="4">
        <v>95.18</v>
      </c>
      <c r="Q54" s="4">
        <v>84.17</v>
      </c>
      <c r="R54" s="3"/>
      <c r="S54" s="7" t="s">
        <v>857</v>
      </c>
    </row>
    <row r="55" spans="1:19" ht="70.2" customHeight="1" x14ac:dyDescent="0.3">
      <c r="A55" s="3" t="s">
        <v>679</v>
      </c>
      <c r="B55" s="3" t="s">
        <v>623</v>
      </c>
      <c r="C55" s="3" t="s">
        <v>949</v>
      </c>
      <c r="D55" s="3" t="s">
        <v>950</v>
      </c>
      <c r="E55" s="3" t="s">
        <v>156</v>
      </c>
      <c r="F55" s="3" t="s">
        <v>197</v>
      </c>
      <c r="G55" s="3" t="s">
        <v>144</v>
      </c>
      <c r="H55" s="3" t="s">
        <v>765</v>
      </c>
      <c r="I55" s="4">
        <v>2000000000</v>
      </c>
      <c r="J55" s="4">
        <v>1560969376</v>
      </c>
      <c r="K55" s="4">
        <v>3560969376</v>
      </c>
      <c r="L55" s="5">
        <v>44159</v>
      </c>
      <c r="M55" s="5"/>
      <c r="N55" s="5">
        <v>44246</v>
      </c>
      <c r="O55" s="5">
        <v>44337</v>
      </c>
      <c r="P55" s="4">
        <v>100.04</v>
      </c>
      <c r="Q55" s="4">
        <v>100</v>
      </c>
      <c r="R55" s="3"/>
      <c r="S55" s="7" t="s">
        <v>951</v>
      </c>
    </row>
    <row r="56" spans="1:19" ht="70.2" customHeight="1" x14ac:dyDescent="0.3">
      <c r="A56" s="3" t="s">
        <v>680</v>
      </c>
      <c r="B56" s="3" t="s">
        <v>658</v>
      </c>
      <c r="C56" s="3" t="s">
        <v>952</v>
      </c>
      <c r="D56" s="3" t="s">
        <v>953</v>
      </c>
      <c r="E56" s="3" t="s">
        <v>156</v>
      </c>
      <c r="F56" s="3" t="s">
        <v>197</v>
      </c>
      <c r="G56" s="3" t="s">
        <v>175</v>
      </c>
      <c r="H56" s="3" t="s">
        <v>765</v>
      </c>
      <c r="I56" s="4">
        <v>1999112638.9200001</v>
      </c>
      <c r="J56" s="4">
        <v>857237428</v>
      </c>
      <c r="K56" s="4">
        <v>2856350066.9200001</v>
      </c>
      <c r="L56" s="5">
        <v>44159</v>
      </c>
      <c r="M56" s="5"/>
      <c r="N56" s="5">
        <v>44259</v>
      </c>
      <c r="O56" s="5">
        <v>44474</v>
      </c>
      <c r="P56" s="4">
        <v>99.08</v>
      </c>
      <c r="Q56" s="4">
        <v>99.46</v>
      </c>
      <c r="R56" s="3"/>
      <c r="S56" s="7" t="s">
        <v>954</v>
      </c>
    </row>
    <row r="57" spans="1:19" ht="70.2" customHeight="1" x14ac:dyDescent="0.3">
      <c r="A57" s="3" t="s">
        <v>681</v>
      </c>
      <c r="B57" s="3" t="s">
        <v>682</v>
      </c>
      <c r="C57" s="3" t="s">
        <v>955</v>
      </c>
      <c r="D57" s="3" t="s">
        <v>956</v>
      </c>
      <c r="E57" s="3" t="s">
        <v>156</v>
      </c>
      <c r="F57" s="3" t="s">
        <v>197</v>
      </c>
      <c r="G57" s="3" t="s">
        <v>175</v>
      </c>
      <c r="H57" s="3" t="s">
        <v>765</v>
      </c>
      <c r="I57" s="4">
        <v>7500000000</v>
      </c>
      <c r="J57" s="4">
        <v>0</v>
      </c>
      <c r="K57" s="4">
        <v>7500000000</v>
      </c>
      <c r="L57" s="5">
        <v>44348</v>
      </c>
      <c r="M57" s="5"/>
      <c r="N57" s="5">
        <v>44379</v>
      </c>
      <c r="O57" s="5">
        <v>44407</v>
      </c>
      <c r="P57" s="4">
        <v>58.72</v>
      </c>
      <c r="Q57" s="4">
        <v>58.7</v>
      </c>
      <c r="R57" s="3"/>
      <c r="S57" s="7" t="s">
        <v>875</v>
      </c>
    </row>
    <row r="58" spans="1:19" ht="70.2" customHeight="1" x14ac:dyDescent="0.3">
      <c r="A58" s="3" t="s">
        <v>683</v>
      </c>
      <c r="B58" s="3" t="s">
        <v>639</v>
      </c>
      <c r="C58" s="3" t="s">
        <v>957</v>
      </c>
      <c r="D58" s="3" t="s">
        <v>958</v>
      </c>
      <c r="E58" s="3" t="s">
        <v>156</v>
      </c>
      <c r="F58" s="3" t="s">
        <v>197</v>
      </c>
      <c r="G58" s="3" t="s">
        <v>144</v>
      </c>
      <c r="H58" s="3" t="s">
        <v>809</v>
      </c>
      <c r="I58" s="4">
        <v>1999803848</v>
      </c>
      <c r="J58" s="4">
        <v>1394426448</v>
      </c>
      <c r="K58" s="4">
        <v>3394230296</v>
      </c>
      <c r="L58" s="5">
        <v>44159</v>
      </c>
      <c r="M58" s="5"/>
      <c r="N58" s="5">
        <v>44320</v>
      </c>
      <c r="O58" s="5">
        <v>44467</v>
      </c>
      <c r="P58" s="4">
        <v>99.71</v>
      </c>
      <c r="Q58" s="4">
        <v>100.53</v>
      </c>
      <c r="R58" s="3"/>
      <c r="S58" s="7" t="s">
        <v>959</v>
      </c>
    </row>
    <row r="59" spans="1:19" ht="70.2" customHeight="1" x14ac:dyDescent="0.3">
      <c r="A59" s="3" t="s">
        <v>684</v>
      </c>
      <c r="B59" s="3" t="s">
        <v>650</v>
      </c>
      <c r="C59" s="3" t="s">
        <v>960</v>
      </c>
      <c r="D59" s="3" t="s">
        <v>961</v>
      </c>
      <c r="E59" s="3" t="s">
        <v>156</v>
      </c>
      <c r="F59" s="3" t="s">
        <v>197</v>
      </c>
      <c r="G59" s="3" t="s">
        <v>175</v>
      </c>
      <c r="H59" s="3" t="s">
        <v>794</v>
      </c>
      <c r="I59" s="4">
        <v>1738785560</v>
      </c>
      <c r="J59" s="4">
        <v>607572471</v>
      </c>
      <c r="K59" s="4">
        <v>2346358031</v>
      </c>
      <c r="L59" s="5">
        <v>44159</v>
      </c>
      <c r="M59" s="5"/>
      <c r="N59" s="5">
        <v>44309</v>
      </c>
      <c r="O59" s="5">
        <v>44337</v>
      </c>
      <c r="P59" s="4">
        <v>61.77</v>
      </c>
      <c r="Q59" s="4">
        <v>61.03</v>
      </c>
      <c r="R59" s="3"/>
      <c r="S59" s="7" t="s">
        <v>39</v>
      </c>
    </row>
    <row r="60" spans="1:19" ht="70.2" customHeight="1" x14ac:dyDescent="0.3">
      <c r="A60" s="3" t="s">
        <v>685</v>
      </c>
      <c r="B60" s="3" t="s">
        <v>623</v>
      </c>
      <c r="C60" s="3" t="s">
        <v>962</v>
      </c>
      <c r="D60" s="3" t="s">
        <v>963</v>
      </c>
      <c r="E60" s="3" t="s">
        <v>156</v>
      </c>
      <c r="F60" s="3" t="s">
        <v>197</v>
      </c>
      <c r="G60" s="3" t="s">
        <v>144</v>
      </c>
      <c r="H60" s="3" t="s">
        <v>765</v>
      </c>
      <c r="I60" s="4">
        <v>1999000000</v>
      </c>
      <c r="J60" s="4">
        <v>512000000</v>
      </c>
      <c r="K60" s="4">
        <v>2511000000</v>
      </c>
      <c r="L60" s="5">
        <v>44159</v>
      </c>
      <c r="M60" s="5"/>
      <c r="N60" s="5">
        <v>44246</v>
      </c>
      <c r="O60" s="5">
        <v>44340</v>
      </c>
      <c r="P60" s="4">
        <v>99.99</v>
      </c>
      <c r="Q60" s="4">
        <v>100</v>
      </c>
      <c r="R60" s="3"/>
      <c r="S60" s="7" t="s">
        <v>964</v>
      </c>
    </row>
    <row r="61" spans="1:19" ht="70.2" customHeight="1" x14ac:dyDescent="0.3">
      <c r="A61" s="3" t="s">
        <v>686</v>
      </c>
      <c r="B61" s="3" t="s">
        <v>687</v>
      </c>
      <c r="C61" s="3" t="s">
        <v>965</v>
      </c>
      <c r="D61" s="3" t="s">
        <v>966</v>
      </c>
      <c r="E61" s="3" t="s">
        <v>156</v>
      </c>
      <c r="F61" s="3" t="s">
        <v>197</v>
      </c>
      <c r="G61" s="3" t="s">
        <v>175</v>
      </c>
      <c r="H61" s="3" t="s">
        <v>765</v>
      </c>
      <c r="I61" s="4">
        <v>1775630700</v>
      </c>
      <c r="J61" s="4">
        <v>118901400</v>
      </c>
      <c r="K61" s="4">
        <v>1894532100</v>
      </c>
      <c r="L61" s="5">
        <v>44368</v>
      </c>
      <c r="M61" s="5"/>
      <c r="N61" s="5">
        <v>44924</v>
      </c>
      <c r="O61" s="5">
        <v>44456</v>
      </c>
      <c r="P61" s="4">
        <v>94.11</v>
      </c>
      <c r="Q61" s="4">
        <v>94.38</v>
      </c>
      <c r="R61" s="3"/>
      <c r="S61" s="7" t="s">
        <v>848</v>
      </c>
    </row>
    <row r="62" spans="1:19" ht="70.2" customHeight="1" x14ac:dyDescent="0.3">
      <c r="A62" s="3" t="s">
        <v>688</v>
      </c>
      <c r="B62" s="3" t="s">
        <v>654</v>
      </c>
      <c r="C62" s="3" t="s">
        <v>967</v>
      </c>
      <c r="D62" s="3" t="s">
        <v>968</v>
      </c>
      <c r="E62" s="3" t="s">
        <v>156</v>
      </c>
      <c r="F62" s="3" t="s">
        <v>197</v>
      </c>
      <c r="G62" s="3" t="s">
        <v>175</v>
      </c>
      <c r="H62" s="3" t="s">
        <v>765</v>
      </c>
      <c r="I62" s="4">
        <v>750000000</v>
      </c>
      <c r="J62" s="4">
        <v>168904760</v>
      </c>
      <c r="K62" s="4">
        <v>918904760</v>
      </c>
      <c r="L62" s="5">
        <v>44377</v>
      </c>
      <c r="M62" s="5"/>
      <c r="N62" s="5">
        <v>44440</v>
      </c>
      <c r="O62" s="5">
        <v>44589</v>
      </c>
      <c r="P62" s="4">
        <v>55.76</v>
      </c>
      <c r="Q62" s="4">
        <v>60.48</v>
      </c>
      <c r="R62" s="3"/>
      <c r="S62" s="7" t="s">
        <v>5</v>
      </c>
    </row>
    <row r="63" spans="1:19" ht="70.2" customHeight="1" x14ac:dyDescent="0.3">
      <c r="A63" s="3" t="s">
        <v>689</v>
      </c>
      <c r="B63" s="3" t="s">
        <v>690</v>
      </c>
      <c r="C63" s="3" t="s">
        <v>969</v>
      </c>
      <c r="D63" s="3" t="s">
        <v>970</v>
      </c>
      <c r="E63" s="3" t="s">
        <v>156</v>
      </c>
      <c r="F63" s="3" t="s">
        <v>197</v>
      </c>
      <c r="G63" s="3" t="s">
        <v>175</v>
      </c>
      <c r="H63" s="3" t="s">
        <v>765</v>
      </c>
      <c r="I63" s="4">
        <v>2828005287</v>
      </c>
      <c r="J63" s="4">
        <v>241611863</v>
      </c>
      <c r="K63" s="4">
        <v>3069617150</v>
      </c>
      <c r="L63" s="5">
        <v>44348</v>
      </c>
      <c r="M63" s="5"/>
      <c r="N63" s="5">
        <v>44924</v>
      </c>
      <c r="O63" s="5">
        <v>44410</v>
      </c>
      <c r="P63" s="4">
        <v>94.61</v>
      </c>
      <c r="Q63" s="4">
        <v>83.98</v>
      </c>
      <c r="R63" s="3"/>
      <c r="S63" s="7" t="s">
        <v>875</v>
      </c>
    </row>
    <row r="64" spans="1:19" ht="70.2" customHeight="1" x14ac:dyDescent="0.3">
      <c r="A64" s="3" t="s">
        <v>691</v>
      </c>
      <c r="B64" s="3" t="s">
        <v>594</v>
      </c>
      <c r="C64" s="3" t="s">
        <v>971</v>
      </c>
      <c r="D64" s="3" t="s">
        <v>972</v>
      </c>
      <c r="E64" s="3" t="s">
        <v>183</v>
      </c>
      <c r="F64" s="3" t="s">
        <v>973</v>
      </c>
      <c r="G64" s="3" t="s">
        <v>175</v>
      </c>
      <c r="H64" s="3" t="s">
        <v>770</v>
      </c>
      <c r="I64" s="4">
        <v>69047758069</v>
      </c>
      <c r="J64" s="4">
        <v>0</v>
      </c>
      <c r="K64" s="4">
        <v>69047758069</v>
      </c>
      <c r="L64" s="5">
        <v>44551</v>
      </c>
      <c r="M64" s="5"/>
      <c r="N64" s="5">
        <v>44652</v>
      </c>
      <c r="O64" s="5">
        <v>44810</v>
      </c>
      <c r="P64" s="4">
        <v>93.54</v>
      </c>
      <c r="Q64" s="4">
        <v>94.51</v>
      </c>
      <c r="R64" s="3"/>
      <c r="S64" s="7" t="s">
        <v>974</v>
      </c>
    </row>
    <row r="65" spans="1:19" ht="70.2" customHeight="1" x14ac:dyDescent="0.3">
      <c r="A65" s="3" t="s">
        <v>692</v>
      </c>
      <c r="B65" s="3" t="s">
        <v>625</v>
      </c>
      <c r="C65" s="3" t="s">
        <v>975</v>
      </c>
      <c r="D65" s="3" t="s">
        <v>976</v>
      </c>
      <c r="E65" s="3" t="s">
        <v>156</v>
      </c>
      <c r="F65" s="3" t="s">
        <v>197</v>
      </c>
      <c r="G65" s="3" t="s">
        <v>175</v>
      </c>
      <c r="H65" s="3" t="s">
        <v>765</v>
      </c>
      <c r="I65" s="4">
        <v>17635937500</v>
      </c>
      <c r="J65" s="4">
        <v>782206000</v>
      </c>
      <c r="K65" s="4">
        <v>18418143500</v>
      </c>
      <c r="L65" s="5">
        <v>44330</v>
      </c>
      <c r="M65" s="5"/>
      <c r="N65" s="5">
        <v>44365</v>
      </c>
      <c r="O65" s="5">
        <v>44438</v>
      </c>
      <c r="P65" s="4">
        <v>81.39</v>
      </c>
      <c r="Q65" s="4">
        <v>81.650000000000006</v>
      </c>
      <c r="R65" s="3"/>
      <c r="S65" s="7" t="s">
        <v>977</v>
      </c>
    </row>
    <row r="66" spans="1:19" ht="70.2" customHeight="1" x14ac:dyDescent="0.3">
      <c r="A66" s="3" t="s">
        <v>693</v>
      </c>
      <c r="B66" s="3" t="s">
        <v>619</v>
      </c>
      <c r="C66" s="3" t="s">
        <v>978</v>
      </c>
      <c r="D66" s="3" t="s">
        <v>979</v>
      </c>
      <c r="E66" s="3" t="s">
        <v>156</v>
      </c>
      <c r="F66" s="3" t="s">
        <v>197</v>
      </c>
      <c r="G66" s="3" t="s">
        <v>175</v>
      </c>
      <c r="H66" s="3" t="s">
        <v>765</v>
      </c>
      <c r="I66" s="4">
        <v>1309600000</v>
      </c>
      <c r="J66" s="4">
        <v>210350000</v>
      </c>
      <c r="K66" s="4">
        <v>1519950000</v>
      </c>
      <c r="L66" s="5">
        <v>44348</v>
      </c>
      <c r="M66" s="5"/>
      <c r="N66" s="5">
        <v>44924</v>
      </c>
      <c r="O66" s="5">
        <v>44466</v>
      </c>
      <c r="P66" s="4">
        <v>93.84</v>
      </c>
      <c r="Q66" s="4">
        <v>95.06</v>
      </c>
      <c r="R66" s="3"/>
      <c r="S66" s="7" t="s">
        <v>851</v>
      </c>
    </row>
    <row r="67" spans="1:19" ht="70.2" customHeight="1" x14ac:dyDescent="0.3">
      <c r="A67" s="3" t="s">
        <v>694</v>
      </c>
      <c r="B67" s="3" t="s">
        <v>658</v>
      </c>
      <c r="C67" s="3" t="s">
        <v>980</v>
      </c>
      <c r="D67" s="3" t="s">
        <v>981</v>
      </c>
      <c r="E67" s="3" t="s">
        <v>156</v>
      </c>
      <c r="F67" s="3" t="s">
        <v>197</v>
      </c>
      <c r="G67" s="3" t="s">
        <v>175</v>
      </c>
      <c r="H67" s="3" t="s">
        <v>765</v>
      </c>
      <c r="I67" s="4">
        <v>2750000000</v>
      </c>
      <c r="J67" s="4">
        <v>25000000</v>
      </c>
      <c r="K67" s="4">
        <v>2775000000</v>
      </c>
      <c r="L67" s="5">
        <v>44384</v>
      </c>
      <c r="M67" s="5"/>
      <c r="N67" s="5">
        <v>44429</v>
      </c>
      <c r="O67" s="5">
        <v>44530</v>
      </c>
      <c r="P67" s="4">
        <v>89.45</v>
      </c>
      <c r="Q67" s="4">
        <v>96.7</v>
      </c>
      <c r="R67" s="3"/>
      <c r="S67" s="7" t="s">
        <v>982</v>
      </c>
    </row>
    <row r="68" spans="1:19" ht="70.2" customHeight="1" x14ac:dyDescent="0.3">
      <c r="A68" s="3" t="s">
        <v>695</v>
      </c>
      <c r="B68" s="3" t="s">
        <v>631</v>
      </c>
      <c r="C68" s="3" t="s">
        <v>983</v>
      </c>
      <c r="D68" s="3" t="s">
        <v>984</v>
      </c>
      <c r="E68" s="3" t="s">
        <v>156</v>
      </c>
      <c r="F68" s="3" t="s">
        <v>197</v>
      </c>
      <c r="G68" s="3" t="s">
        <v>175</v>
      </c>
      <c r="H68" s="3" t="s">
        <v>765</v>
      </c>
      <c r="I68" s="4">
        <v>1500000000</v>
      </c>
      <c r="J68" s="4">
        <v>353734000</v>
      </c>
      <c r="K68" s="4">
        <v>1853734000</v>
      </c>
      <c r="L68" s="5">
        <v>44368</v>
      </c>
      <c r="M68" s="5"/>
      <c r="N68" s="5">
        <v>44368</v>
      </c>
      <c r="O68" s="5">
        <v>44433</v>
      </c>
      <c r="P68" s="4">
        <v>96.28</v>
      </c>
      <c r="Q68" s="4">
        <v>93.62</v>
      </c>
      <c r="R68" s="3"/>
      <c r="S68" s="7" t="s">
        <v>848</v>
      </c>
    </row>
    <row r="69" spans="1:19" ht="70.2" customHeight="1" x14ac:dyDescent="0.3">
      <c r="A69" s="3" t="s">
        <v>696</v>
      </c>
      <c r="B69" s="3" t="s">
        <v>635</v>
      </c>
      <c r="C69" s="3" t="s">
        <v>985</v>
      </c>
      <c r="D69" s="3" t="s">
        <v>986</v>
      </c>
      <c r="E69" s="3" t="s">
        <v>156</v>
      </c>
      <c r="F69" s="3" t="s">
        <v>197</v>
      </c>
      <c r="G69" s="3" t="s">
        <v>175</v>
      </c>
      <c r="H69" s="3" t="s">
        <v>765</v>
      </c>
      <c r="I69" s="4">
        <v>1411798728</v>
      </c>
      <c r="J69" s="4">
        <v>120549808</v>
      </c>
      <c r="K69" s="4">
        <v>1532348536</v>
      </c>
      <c r="L69" s="5">
        <v>44368</v>
      </c>
      <c r="M69" s="5"/>
      <c r="N69" s="5">
        <v>44925</v>
      </c>
      <c r="O69" s="5">
        <v>44407</v>
      </c>
      <c r="P69" s="4">
        <v>96.02</v>
      </c>
      <c r="Q69" s="4">
        <v>88.96</v>
      </c>
      <c r="R69" s="3"/>
      <c r="S69" s="7" t="s">
        <v>857</v>
      </c>
    </row>
    <row r="70" spans="1:19" ht="70.2" customHeight="1" x14ac:dyDescent="0.3">
      <c r="A70" s="3" t="s">
        <v>697</v>
      </c>
      <c r="B70" s="3" t="s">
        <v>698</v>
      </c>
      <c r="C70" s="3" t="s">
        <v>987</v>
      </c>
      <c r="D70" s="3" t="s">
        <v>988</v>
      </c>
      <c r="E70" s="3" t="s">
        <v>156</v>
      </c>
      <c r="F70" s="3" t="s">
        <v>197</v>
      </c>
      <c r="G70" s="3" t="s">
        <v>175</v>
      </c>
      <c r="H70" s="3" t="s">
        <v>765</v>
      </c>
      <c r="I70" s="4">
        <v>1999997728</v>
      </c>
      <c r="J70" s="4">
        <v>663234720</v>
      </c>
      <c r="K70" s="4">
        <v>2663232448</v>
      </c>
      <c r="L70" s="5">
        <v>44536</v>
      </c>
      <c r="M70" s="5"/>
      <c r="N70" s="5">
        <v>44533</v>
      </c>
      <c r="O70" s="5">
        <v>44713</v>
      </c>
      <c r="P70" s="4">
        <v>90.56</v>
      </c>
      <c r="Q70" s="4">
        <v>43.52</v>
      </c>
      <c r="R70" s="3"/>
      <c r="S70" s="7" t="s">
        <v>989</v>
      </c>
    </row>
    <row r="71" spans="1:19" ht="70.2" customHeight="1" x14ac:dyDescent="0.3">
      <c r="A71" s="3" t="s">
        <v>699</v>
      </c>
      <c r="B71" s="3" t="s">
        <v>658</v>
      </c>
      <c r="C71" s="3" t="s">
        <v>990</v>
      </c>
      <c r="D71" s="3" t="s">
        <v>991</v>
      </c>
      <c r="E71" s="3" t="s">
        <v>156</v>
      </c>
      <c r="F71" s="3" t="s">
        <v>197</v>
      </c>
      <c r="G71" s="3" t="s">
        <v>175</v>
      </c>
      <c r="H71" s="3" t="s">
        <v>809</v>
      </c>
      <c r="I71" s="4">
        <v>1999667231.96</v>
      </c>
      <c r="J71" s="4">
        <v>1036153791.2</v>
      </c>
      <c r="K71" s="4">
        <v>3035821023.1599998</v>
      </c>
      <c r="L71" s="5">
        <v>44537</v>
      </c>
      <c r="M71" s="5"/>
      <c r="N71" s="5">
        <v>44606</v>
      </c>
      <c r="O71" s="5">
        <v>44721</v>
      </c>
      <c r="P71" s="4">
        <v>91.99</v>
      </c>
      <c r="Q71" s="4">
        <v>98.96</v>
      </c>
      <c r="R71" s="3"/>
      <c r="S71" s="7" t="s">
        <v>992</v>
      </c>
    </row>
    <row r="72" spans="1:19" ht="70.2" customHeight="1" x14ac:dyDescent="0.3">
      <c r="A72" s="3" t="s">
        <v>700</v>
      </c>
      <c r="B72" s="3" t="s">
        <v>658</v>
      </c>
      <c r="C72" s="3" t="s">
        <v>993</v>
      </c>
      <c r="D72" s="3" t="s">
        <v>994</v>
      </c>
      <c r="E72" s="3" t="s">
        <v>156</v>
      </c>
      <c r="F72" s="3" t="s">
        <v>197</v>
      </c>
      <c r="G72" s="3" t="s">
        <v>308</v>
      </c>
      <c r="H72" s="3" t="s">
        <v>995</v>
      </c>
      <c r="I72" s="4">
        <v>2000000000</v>
      </c>
      <c r="J72" s="4">
        <v>896725569</v>
      </c>
      <c r="K72" s="4">
        <v>2896725569</v>
      </c>
      <c r="L72" s="5">
        <v>44537</v>
      </c>
      <c r="M72" s="5"/>
      <c r="N72" s="5">
        <v>44606</v>
      </c>
      <c r="O72" s="5">
        <v>44740</v>
      </c>
      <c r="P72" s="4">
        <v>100.01</v>
      </c>
      <c r="Q72" s="4">
        <v>99.66</v>
      </c>
      <c r="R72" s="3"/>
      <c r="S72" s="7" t="s">
        <v>996</v>
      </c>
    </row>
    <row r="73" spans="1:19" ht="70.2" customHeight="1" x14ac:dyDescent="0.3">
      <c r="A73" s="3" t="s">
        <v>701</v>
      </c>
      <c r="B73" s="3" t="s">
        <v>639</v>
      </c>
      <c r="C73" s="3" t="s">
        <v>997</v>
      </c>
      <c r="D73" s="3" t="s">
        <v>998</v>
      </c>
      <c r="E73" s="3" t="s">
        <v>156</v>
      </c>
      <c r="F73" s="3" t="s">
        <v>197</v>
      </c>
      <c r="G73" s="3" t="s">
        <v>175</v>
      </c>
      <c r="H73" s="3" t="s">
        <v>758</v>
      </c>
      <c r="I73" s="4">
        <v>1953855779</v>
      </c>
      <c r="J73" s="4">
        <v>505920337</v>
      </c>
      <c r="K73" s="4">
        <v>2459776116</v>
      </c>
      <c r="L73" s="5">
        <v>44537</v>
      </c>
      <c r="M73" s="5"/>
      <c r="N73" s="5">
        <v>44606</v>
      </c>
      <c r="O73" s="5">
        <v>44713</v>
      </c>
      <c r="P73" s="4">
        <v>98.32</v>
      </c>
      <c r="Q73" s="4">
        <v>98.46</v>
      </c>
      <c r="R73" s="3"/>
      <c r="S73" s="7" t="s">
        <v>39</v>
      </c>
    </row>
    <row r="74" spans="1:19" ht="70.2" customHeight="1" x14ac:dyDescent="0.3">
      <c r="A74" s="3" t="s">
        <v>702</v>
      </c>
      <c r="B74" s="3" t="s">
        <v>623</v>
      </c>
      <c r="C74" s="3" t="s">
        <v>999</v>
      </c>
      <c r="D74" s="3" t="s">
        <v>1000</v>
      </c>
      <c r="E74" s="3" t="s">
        <v>156</v>
      </c>
      <c r="F74" s="3" t="s">
        <v>197</v>
      </c>
      <c r="G74" s="3" t="s">
        <v>144</v>
      </c>
      <c r="H74" s="3" t="s">
        <v>758</v>
      </c>
      <c r="I74" s="4">
        <v>4351936180</v>
      </c>
      <c r="J74" s="4">
        <v>100000000</v>
      </c>
      <c r="K74" s="4">
        <v>4451936180</v>
      </c>
      <c r="L74" s="5">
        <v>44552</v>
      </c>
      <c r="M74" s="5"/>
      <c r="N74" s="5">
        <v>44560</v>
      </c>
      <c r="O74" s="5">
        <v>44588</v>
      </c>
      <c r="P74" s="4">
        <v>100</v>
      </c>
      <c r="Q74" s="4">
        <v>99.61</v>
      </c>
      <c r="R74" s="3"/>
      <c r="S74" s="7" t="s">
        <v>5</v>
      </c>
    </row>
    <row r="75" spans="1:19" ht="70.2" customHeight="1" x14ac:dyDescent="0.3">
      <c r="A75" s="3" t="s">
        <v>703</v>
      </c>
      <c r="B75" s="3" t="s">
        <v>623</v>
      </c>
      <c r="C75" s="3" t="s">
        <v>1001</v>
      </c>
      <c r="D75" s="3" t="s">
        <v>1002</v>
      </c>
      <c r="E75" s="3" t="s">
        <v>156</v>
      </c>
      <c r="F75" s="3" t="s">
        <v>197</v>
      </c>
      <c r="G75" s="3" t="s">
        <v>144</v>
      </c>
      <c r="H75" s="3" t="s">
        <v>765</v>
      </c>
      <c r="I75" s="4">
        <v>19906880779</v>
      </c>
      <c r="J75" s="4">
        <v>72000000</v>
      </c>
      <c r="K75" s="4">
        <v>19978880779</v>
      </c>
      <c r="L75" s="5">
        <v>44700</v>
      </c>
      <c r="M75" s="5"/>
      <c r="N75" s="5">
        <v>44756</v>
      </c>
      <c r="O75" s="5">
        <v>44783</v>
      </c>
      <c r="P75" s="4">
        <v>100.01</v>
      </c>
      <c r="Q75" s="4">
        <v>99.34</v>
      </c>
      <c r="R75" s="3"/>
      <c r="S75" s="7" t="s">
        <v>1003</v>
      </c>
    </row>
    <row r="76" spans="1:19" ht="70.2" customHeight="1" x14ac:dyDescent="0.3">
      <c r="A76" s="3" t="s">
        <v>704</v>
      </c>
      <c r="B76" s="3" t="s">
        <v>611</v>
      </c>
      <c r="C76" s="3" t="s">
        <v>1004</v>
      </c>
      <c r="D76" s="3" t="s">
        <v>1005</v>
      </c>
      <c r="E76" s="3" t="s">
        <v>358</v>
      </c>
      <c r="F76" s="3" t="s">
        <v>316</v>
      </c>
      <c r="G76" s="3" t="s">
        <v>144</v>
      </c>
      <c r="H76" s="3" t="s">
        <v>758</v>
      </c>
      <c r="I76" s="4">
        <v>3981132848.27</v>
      </c>
      <c r="J76" s="4">
        <v>0</v>
      </c>
      <c r="K76" s="4">
        <v>3981132848.27</v>
      </c>
      <c r="L76" s="5">
        <v>44509</v>
      </c>
      <c r="M76" s="5"/>
      <c r="N76" s="5">
        <v>44511</v>
      </c>
      <c r="O76" s="5">
        <v>44594</v>
      </c>
      <c r="P76" s="4">
        <v>100</v>
      </c>
      <c r="Q76" s="4">
        <v>99.86</v>
      </c>
      <c r="R76" s="3"/>
      <c r="S76" s="7" t="s">
        <v>13</v>
      </c>
    </row>
    <row r="77" spans="1:19" ht="70.2" customHeight="1" x14ac:dyDescent="0.3">
      <c r="A77" s="3" t="s">
        <v>705</v>
      </c>
      <c r="B77" s="3" t="s">
        <v>706</v>
      </c>
      <c r="C77" s="3" t="s">
        <v>1006</v>
      </c>
      <c r="D77" s="3"/>
      <c r="E77" s="3" t="s">
        <v>183</v>
      </c>
      <c r="F77" s="3" t="s">
        <v>1007</v>
      </c>
      <c r="G77" s="3" t="s">
        <v>447</v>
      </c>
      <c r="H77" s="3" t="s">
        <v>805</v>
      </c>
      <c r="I77" s="4">
        <v>2407058486</v>
      </c>
      <c r="J77" s="4">
        <v>216768.82000017169</v>
      </c>
      <c r="K77" s="4">
        <v>2407275254.8200002</v>
      </c>
      <c r="L77" s="5">
        <v>44844</v>
      </c>
      <c r="M77" s="5"/>
      <c r="N77" s="5"/>
      <c r="O77" s="5"/>
      <c r="P77" s="4">
        <v>0</v>
      </c>
      <c r="Q77" s="4">
        <v>0</v>
      </c>
      <c r="R77" s="3"/>
      <c r="S77" s="7" t="s">
        <v>31</v>
      </c>
    </row>
    <row r="78" spans="1:19" ht="70.2" customHeight="1" x14ac:dyDescent="0.3">
      <c r="A78" s="3" t="s">
        <v>707</v>
      </c>
      <c r="B78" s="3" t="s">
        <v>611</v>
      </c>
      <c r="C78" s="3" t="s">
        <v>1008</v>
      </c>
      <c r="D78" s="3" t="s">
        <v>1009</v>
      </c>
      <c r="E78" s="3" t="s">
        <v>183</v>
      </c>
      <c r="F78" s="3" t="s">
        <v>1010</v>
      </c>
      <c r="G78" s="3" t="s">
        <v>175</v>
      </c>
      <c r="H78" s="3" t="s">
        <v>765</v>
      </c>
      <c r="I78" s="4">
        <v>45601872749</v>
      </c>
      <c r="J78" s="4">
        <v>0</v>
      </c>
      <c r="K78" s="4">
        <v>45601872749</v>
      </c>
      <c r="L78" s="5">
        <v>44560</v>
      </c>
      <c r="M78" s="5"/>
      <c r="N78" s="5">
        <v>44559</v>
      </c>
      <c r="O78" s="5">
        <v>44669</v>
      </c>
      <c r="P78" s="4">
        <v>86.14</v>
      </c>
      <c r="Q78" s="4">
        <v>92.14</v>
      </c>
      <c r="R78" s="3"/>
      <c r="S78" s="7" t="s">
        <v>13</v>
      </c>
    </row>
    <row r="79" spans="1:19" ht="70.2" customHeight="1" x14ac:dyDescent="0.3">
      <c r="A79" s="3" t="s">
        <v>708</v>
      </c>
      <c r="B79" s="3" t="s">
        <v>709</v>
      </c>
      <c r="C79" s="3" t="s">
        <v>1011</v>
      </c>
      <c r="D79" s="3" t="s">
        <v>1012</v>
      </c>
      <c r="E79" s="3" t="s">
        <v>183</v>
      </c>
      <c r="F79" s="3" t="s">
        <v>186</v>
      </c>
      <c r="G79" s="3" t="s">
        <v>144</v>
      </c>
      <c r="H79" s="3" t="s">
        <v>765</v>
      </c>
      <c r="I79" s="4">
        <v>2489078661</v>
      </c>
      <c r="J79" s="4">
        <v>0</v>
      </c>
      <c r="K79" s="4">
        <v>2489078661</v>
      </c>
      <c r="L79" s="5">
        <v>44559</v>
      </c>
      <c r="M79" s="5"/>
      <c r="N79" s="5">
        <v>44559</v>
      </c>
      <c r="O79" s="5">
        <v>44810</v>
      </c>
      <c r="P79" s="4">
        <v>100</v>
      </c>
      <c r="Q79" s="4">
        <v>99.97</v>
      </c>
      <c r="R79" s="3"/>
      <c r="S79" s="7" t="s">
        <v>39</v>
      </c>
    </row>
    <row r="80" spans="1:19" ht="70.2" customHeight="1" x14ac:dyDescent="0.3">
      <c r="A80" s="3" t="s">
        <v>710</v>
      </c>
      <c r="B80" s="3" t="s">
        <v>711</v>
      </c>
      <c r="C80" s="3" t="s">
        <v>1013</v>
      </c>
      <c r="D80" s="3" t="s">
        <v>1014</v>
      </c>
      <c r="E80" s="3" t="s">
        <v>183</v>
      </c>
      <c r="F80" s="3" t="s">
        <v>186</v>
      </c>
      <c r="G80" s="3" t="s">
        <v>175</v>
      </c>
      <c r="H80" s="3" t="s">
        <v>770</v>
      </c>
      <c r="I80" s="4">
        <v>18036167387.900002</v>
      </c>
      <c r="J80" s="4">
        <v>0</v>
      </c>
      <c r="K80" s="4">
        <v>18036167387.900002</v>
      </c>
      <c r="L80" s="5">
        <v>44559</v>
      </c>
      <c r="M80" s="5"/>
      <c r="N80" s="5"/>
      <c r="O80" s="5">
        <v>44708</v>
      </c>
      <c r="P80" s="4">
        <v>81.45</v>
      </c>
      <c r="Q80" s="4">
        <v>82.2</v>
      </c>
      <c r="R80" s="3"/>
      <c r="S80" s="7" t="s">
        <v>31</v>
      </c>
    </row>
    <row r="81" spans="1:19" ht="70.2" customHeight="1" x14ac:dyDescent="0.3">
      <c r="A81" s="3" t="s">
        <v>712</v>
      </c>
      <c r="B81" s="3" t="s">
        <v>709</v>
      </c>
      <c r="C81" s="3" t="s">
        <v>1015</v>
      </c>
      <c r="D81" s="3" t="s">
        <v>1016</v>
      </c>
      <c r="E81" s="3" t="s">
        <v>183</v>
      </c>
      <c r="F81" s="3" t="s">
        <v>265</v>
      </c>
      <c r="G81" s="3" t="s">
        <v>175</v>
      </c>
      <c r="H81" s="3" t="s">
        <v>770</v>
      </c>
      <c r="I81" s="4">
        <v>41816156185</v>
      </c>
      <c r="J81" s="4">
        <v>0</v>
      </c>
      <c r="K81" s="4">
        <v>41816156185</v>
      </c>
      <c r="L81" s="5">
        <v>44624</v>
      </c>
      <c r="M81" s="5"/>
      <c r="N81" s="5">
        <v>44624</v>
      </c>
      <c r="O81" s="5">
        <v>44873</v>
      </c>
      <c r="P81" s="4">
        <v>64.319999999999993</v>
      </c>
      <c r="Q81" s="4">
        <v>73.13</v>
      </c>
      <c r="R81" s="3"/>
      <c r="S81" s="7" t="s">
        <v>39</v>
      </c>
    </row>
    <row r="82" spans="1:19" ht="70.2" customHeight="1" x14ac:dyDescent="0.3">
      <c r="A82" s="3" t="s">
        <v>713</v>
      </c>
      <c r="B82" s="3" t="s">
        <v>623</v>
      </c>
      <c r="C82" s="3" t="s">
        <v>1017</v>
      </c>
      <c r="D82" s="3" t="s">
        <v>1018</v>
      </c>
      <c r="E82" s="3" t="s">
        <v>156</v>
      </c>
      <c r="F82" s="3" t="s">
        <v>197</v>
      </c>
      <c r="G82" s="3" t="s">
        <v>175</v>
      </c>
      <c r="H82" s="3" t="s">
        <v>765</v>
      </c>
      <c r="I82" s="4">
        <v>9606506835</v>
      </c>
      <c r="J82" s="4">
        <v>90000000</v>
      </c>
      <c r="K82" s="4">
        <v>9696506835</v>
      </c>
      <c r="L82" s="5">
        <v>44887</v>
      </c>
      <c r="M82" s="5"/>
      <c r="N82" s="5">
        <v>44911</v>
      </c>
      <c r="O82" s="5">
        <v>45070</v>
      </c>
      <c r="P82" s="4">
        <v>99.96</v>
      </c>
      <c r="Q82" s="4">
        <v>92.4</v>
      </c>
      <c r="R82" s="3"/>
      <c r="S82" s="7" t="s">
        <v>5</v>
      </c>
    </row>
    <row r="83" spans="1:19" ht="70.2" customHeight="1" x14ac:dyDescent="0.3">
      <c r="A83" s="3" t="s">
        <v>714</v>
      </c>
      <c r="B83" s="3" t="s">
        <v>715</v>
      </c>
      <c r="C83" s="3" t="s">
        <v>1019</v>
      </c>
      <c r="D83" s="3" t="s">
        <v>1020</v>
      </c>
      <c r="E83" s="3" t="s">
        <v>156</v>
      </c>
      <c r="F83" s="3" t="s">
        <v>197</v>
      </c>
      <c r="G83" s="3" t="s">
        <v>144</v>
      </c>
      <c r="H83" s="3" t="s">
        <v>809</v>
      </c>
      <c r="I83" s="4">
        <v>500000000</v>
      </c>
      <c r="J83" s="4">
        <v>85470000</v>
      </c>
      <c r="K83" s="4">
        <v>585470000</v>
      </c>
      <c r="L83" s="5">
        <v>44887</v>
      </c>
      <c r="M83" s="5"/>
      <c r="N83" s="5">
        <v>44930</v>
      </c>
      <c r="O83" s="5">
        <v>44986</v>
      </c>
      <c r="P83" s="4">
        <v>100</v>
      </c>
      <c r="Q83" s="4">
        <v>95.06</v>
      </c>
      <c r="R83" s="3"/>
      <c r="S83" s="7" t="s">
        <v>39</v>
      </c>
    </row>
    <row r="84" spans="1:19" ht="70.2" customHeight="1" x14ac:dyDescent="0.3">
      <c r="A84" s="3" t="s">
        <v>716</v>
      </c>
      <c r="B84" s="3" t="s">
        <v>717</v>
      </c>
      <c r="C84" s="3" t="s">
        <v>1021</v>
      </c>
      <c r="D84" s="3" t="s">
        <v>1022</v>
      </c>
      <c r="E84" s="3" t="s">
        <v>156</v>
      </c>
      <c r="F84" s="3" t="s">
        <v>197</v>
      </c>
      <c r="G84" s="3" t="s">
        <v>175</v>
      </c>
      <c r="H84" s="3" t="s">
        <v>765</v>
      </c>
      <c r="I84" s="4">
        <v>4299593384</v>
      </c>
      <c r="J84" s="4">
        <v>126145067</v>
      </c>
      <c r="K84" s="4">
        <v>4425738451</v>
      </c>
      <c r="L84" s="5">
        <v>44914</v>
      </c>
      <c r="M84" s="5"/>
      <c r="N84" s="5">
        <v>45055</v>
      </c>
      <c r="O84" s="5">
        <v>45139</v>
      </c>
      <c r="P84" s="4">
        <v>82.82</v>
      </c>
      <c r="Q84" s="4">
        <v>82.73</v>
      </c>
      <c r="R84" s="3"/>
      <c r="S84" s="7" t="s">
        <v>39</v>
      </c>
    </row>
    <row r="85" spans="1:19" ht="70.2" customHeight="1" x14ac:dyDescent="0.3">
      <c r="A85" s="3" t="s">
        <v>718</v>
      </c>
      <c r="B85" s="3" t="s">
        <v>719</v>
      </c>
      <c r="C85" s="3" t="s">
        <v>1023</v>
      </c>
      <c r="D85" s="3" t="s">
        <v>1024</v>
      </c>
      <c r="E85" s="3" t="s">
        <v>299</v>
      </c>
      <c r="F85" s="3" t="s">
        <v>186</v>
      </c>
      <c r="G85" s="3" t="s">
        <v>144</v>
      </c>
      <c r="H85" s="3" t="s">
        <v>758</v>
      </c>
      <c r="I85" s="4">
        <v>29623316906.279999</v>
      </c>
      <c r="J85" s="4">
        <v>0</v>
      </c>
      <c r="K85" s="4">
        <v>29623316906.279999</v>
      </c>
      <c r="L85" s="5">
        <v>44925</v>
      </c>
      <c r="M85" s="5"/>
      <c r="N85" s="5">
        <v>44952</v>
      </c>
      <c r="O85" s="5">
        <v>45030</v>
      </c>
      <c r="P85" s="4">
        <v>98.28</v>
      </c>
      <c r="Q85" s="4">
        <v>93.6</v>
      </c>
      <c r="R85" s="3"/>
      <c r="S85" s="7" t="s">
        <v>39</v>
      </c>
    </row>
    <row r="86" spans="1:19" ht="70.2" customHeight="1" x14ac:dyDescent="0.3">
      <c r="A86" s="3" t="s">
        <v>720</v>
      </c>
      <c r="B86" s="3" t="s">
        <v>721</v>
      </c>
      <c r="C86" s="3" t="s">
        <v>1025</v>
      </c>
      <c r="D86" s="3" t="s">
        <v>1026</v>
      </c>
      <c r="E86" s="3" t="s">
        <v>183</v>
      </c>
      <c r="F86" s="3" t="s">
        <v>265</v>
      </c>
      <c r="G86" s="3" t="s">
        <v>175</v>
      </c>
      <c r="H86" s="3" t="s">
        <v>770</v>
      </c>
      <c r="I86" s="4">
        <v>30461715692</v>
      </c>
      <c r="J86" s="4">
        <v>0</v>
      </c>
      <c r="K86" s="4">
        <v>30461715692</v>
      </c>
      <c r="L86" s="5">
        <v>45064</v>
      </c>
      <c r="M86" s="5"/>
      <c r="N86" s="5">
        <v>45202</v>
      </c>
      <c r="O86" s="5">
        <v>45289</v>
      </c>
      <c r="P86" s="4">
        <v>83.59</v>
      </c>
      <c r="Q86" s="4">
        <v>90.33</v>
      </c>
      <c r="R86" s="3"/>
      <c r="S86" s="7" t="s">
        <v>30</v>
      </c>
    </row>
    <row r="87" spans="1:19" ht="70.2" customHeight="1" x14ac:dyDescent="0.3">
      <c r="A87" s="3" t="s">
        <v>722</v>
      </c>
      <c r="B87" s="3" t="s">
        <v>723</v>
      </c>
      <c r="C87" s="3" t="s">
        <v>1027</v>
      </c>
      <c r="D87" s="3" t="s">
        <v>1028</v>
      </c>
      <c r="E87" s="3" t="s">
        <v>156</v>
      </c>
      <c r="F87" s="3" t="s">
        <v>197</v>
      </c>
      <c r="G87" s="3" t="s">
        <v>175</v>
      </c>
      <c r="H87" s="3" t="s">
        <v>765</v>
      </c>
      <c r="I87" s="4">
        <v>17454000000</v>
      </c>
      <c r="J87" s="4">
        <v>307000000</v>
      </c>
      <c r="K87" s="4">
        <v>17761000000</v>
      </c>
      <c r="L87" s="5">
        <v>45154</v>
      </c>
      <c r="M87" s="5"/>
      <c r="N87" s="5">
        <v>45428</v>
      </c>
      <c r="O87" s="5">
        <v>45317</v>
      </c>
      <c r="P87" s="4">
        <v>73.41</v>
      </c>
      <c r="Q87" s="4">
        <v>66.63</v>
      </c>
      <c r="R87" s="3"/>
      <c r="S87" s="7" t="s">
        <v>39</v>
      </c>
    </row>
    <row r="88" spans="1:19" ht="70.2" customHeight="1" x14ac:dyDescent="0.3">
      <c r="A88" s="3" t="s">
        <v>724</v>
      </c>
      <c r="B88" s="3" t="s">
        <v>725</v>
      </c>
      <c r="C88" s="3" t="s">
        <v>1029</v>
      </c>
      <c r="D88" s="3" t="s">
        <v>1030</v>
      </c>
      <c r="E88" s="3" t="s">
        <v>156</v>
      </c>
      <c r="F88" s="3" t="s">
        <v>291</v>
      </c>
      <c r="G88" s="3" t="s">
        <v>175</v>
      </c>
      <c r="H88" s="3" t="s">
        <v>765</v>
      </c>
      <c r="I88" s="4">
        <v>8419333809</v>
      </c>
      <c r="J88" s="4">
        <v>1511453285</v>
      </c>
      <c r="K88" s="4">
        <v>9930787094</v>
      </c>
      <c r="L88" s="5">
        <v>45154</v>
      </c>
      <c r="M88" s="5"/>
      <c r="N88" s="5">
        <v>45281</v>
      </c>
      <c r="O88" s="5">
        <v>45328</v>
      </c>
      <c r="P88" s="4">
        <v>39.99</v>
      </c>
      <c r="Q88" s="4">
        <v>75.38</v>
      </c>
      <c r="R88" s="3"/>
      <c r="S88" s="7" t="s">
        <v>1031</v>
      </c>
    </row>
    <row r="89" spans="1:19" ht="70.2" customHeight="1" x14ac:dyDescent="0.3">
      <c r="A89" s="3" t="s">
        <v>726</v>
      </c>
      <c r="B89" s="3" t="s">
        <v>727</v>
      </c>
      <c r="C89" s="3" t="s">
        <v>1032</v>
      </c>
      <c r="D89" s="3" t="s">
        <v>1033</v>
      </c>
      <c r="E89" s="3" t="s">
        <v>461</v>
      </c>
      <c r="F89" s="3" t="s">
        <v>1034</v>
      </c>
      <c r="G89" s="3" t="s">
        <v>175</v>
      </c>
      <c r="H89" s="3" t="s">
        <v>765</v>
      </c>
      <c r="I89" s="4">
        <v>94461519789</v>
      </c>
      <c r="J89" s="4">
        <v>0</v>
      </c>
      <c r="K89" s="4">
        <v>94461519789</v>
      </c>
      <c r="L89" s="5">
        <v>45290</v>
      </c>
      <c r="M89" s="5"/>
      <c r="N89" s="5">
        <v>45369</v>
      </c>
      <c r="O89" s="5">
        <v>45539</v>
      </c>
      <c r="P89" s="4">
        <v>77.47</v>
      </c>
      <c r="Q89" s="4">
        <v>92.23</v>
      </c>
      <c r="R89" s="3"/>
      <c r="S89" s="7" t="s">
        <v>6</v>
      </c>
    </row>
    <row r="90" spans="1:19" ht="70.2" customHeight="1" x14ac:dyDescent="0.3">
      <c r="A90" s="3" t="s">
        <v>728</v>
      </c>
      <c r="B90" s="3" t="s">
        <v>654</v>
      </c>
      <c r="C90" s="3" t="s">
        <v>1035</v>
      </c>
      <c r="D90" s="3" t="s">
        <v>1036</v>
      </c>
      <c r="E90" s="3" t="s">
        <v>156</v>
      </c>
      <c r="F90" s="3" t="s">
        <v>1037</v>
      </c>
      <c r="G90" s="3" t="s">
        <v>175</v>
      </c>
      <c r="H90" s="3" t="s">
        <v>765</v>
      </c>
      <c r="I90" s="4">
        <v>3362968761</v>
      </c>
      <c r="J90" s="4">
        <v>1180580884</v>
      </c>
      <c r="K90" s="4">
        <v>4543549645</v>
      </c>
      <c r="L90" s="5">
        <v>45596</v>
      </c>
      <c r="M90" s="5"/>
      <c r="N90" s="5">
        <v>45649</v>
      </c>
      <c r="O90" s="5">
        <v>45721</v>
      </c>
      <c r="P90" s="4">
        <v>23.04</v>
      </c>
      <c r="Q90" s="4">
        <v>22.96</v>
      </c>
      <c r="R90" s="3"/>
      <c r="S90" s="7" t="s">
        <v>1038</v>
      </c>
    </row>
    <row r="91" spans="1:19" ht="70.2" customHeight="1" x14ac:dyDescent="0.3">
      <c r="A91" s="3" t="s">
        <v>729</v>
      </c>
      <c r="B91" s="3" t="s">
        <v>687</v>
      </c>
      <c r="C91" s="3" t="s">
        <v>1039</v>
      </c>
      <c r="D91" s="3" t="s">
        <v>1040</v>
      </c>
      <c r="E91" s="3" t="s">
        <v>156</v>
      </c>
      <c r="F91" s="3" t="s">
        <v>197</v>
      </c>
      <c r="G91" s="3" t="s">
        <v>175</v>
      </c>
      <c r="H91" s="3" t="s">
        <v>765</v>
      </c>
      <c r="I91" s="4">
        <v>23600000000</v>
      </c>
      <c r="J91" s="4">
        <v>918488200</v>
      </c>
      <c r="K91" s="4">
        <v>24518488200</v>
      </c>
      <c r="L91" s="5">
        <v>45861</v>
      </c>
      <c r="M91" s="5"/>
      <c r="N91" s="5">
        <v>45916</v>
      </c>
      <c r="O91" s="5">
        <v>45965</v>
      </c>
      <c r="P91" s="4">
        <v>0.01</v>
      </c>
      <c r="Q91" s="4">
        <v>0</v>
      </c>
      <c r="R91" s="3"/>
      <c r="S91" s="7" t="s">
        <v>39</v>
      </c>
    </row>
    <row r="92" spans="1:19" ht="70.2" customHeight="1" x14ac:dyDescent="0.3">
      <c r="A92" s="3" t="s">
        <v>730</v>
      </c>
      <c r="B92" s="3" t="s">
        <v>617</v>
      </c>
      <c r="C92" s="3" t="s">
        <v>1041</v>
      </c>
      <c r="D92" s="3" t="s">
        <v>1042</v>
      </c>
      <c r="E92" s="3" t="s">
        <v>156</v>
      </c>
      <c r="F92" s="3" t="s">
        <v>291</v>
      </c>
      <c r="G92" s="3" t="s">
        <v>175</v>
      </c>
      <c r="H92" s="3" t="s">
        <v>765</v>
      </c>
      <c r="I92" s="4">
        <v>30000000000</v>
      </c>
      <c r="J92" s="4">
        <v>1068885740</v>
      </c>
      <c r="K92" s="4">
        <v>31068885740</v>
      </c>
      <c r="L92" s="5">
        <v>45861</v>
      </c>
      <c r="M92" s="5"/>
      <c r="N92" s="5">
        <v>45904</v>
      </c>
      <c r="O92" s="5">
        <v>45976</v>
      </c>
      <c r="P92" s="4">
        <v>2.39</v>
      </c>
      <c r="Q92" s="4">
        <v>1.17</v>
      </c>
      <c r="R92" s="3"/>
      <c r="S92" s="7" t="s">
        <v>39</v>
      </c>
    </row>
    <row r="93" spans="1:19" ht="70.2" customHeight="1" x14ac:dyDescent="0.3">
      <c r="A93" s="3" t="s">
        <v>731</v>
      </c>
      <c r="B93" s="3" t="s">
        <v>658</v>
      </c>
      <c r="C93" s="3" t="s">
        <v>1043</v>
      </c>
      <c r="D93" s="3"/>
      <c r="E93" s="3" t="s">
        <v>156</v>
      </c>
      <c r="F93" s="3" t="s">
        <v>291</v>
      </c>
      <c r="G93" s="3" t="s">
        <v>175</v>
      </c>
      <c r="H93" s="3" t="s">
        <v>765</v>
      </c>
      <c r="I93" s="4">
        <v>30000000000</v>
      </c>
      <c r="J93" s="4">
        <v>899136874.04999924</v>
      </c>
      <c r="K93" s="4">
        <v>30899136874.049999</v>
      </c>
      <c r="L93" s="5">
        <v>45861</v>
      </c>
      <c r="M93" s="5"/>
      <c r="N93" s="5">
        <v>45926</v>
      </c>
      <c r="O93" s="5">
        <v>45980</v>
      </c>
      <c r="P93" s="4">
        <v>8.8000000000000007</v>
      </c>
      <c r="Q93" s="4">
        <v>10.53</v>
      </c>
      <c r="R93" s="3"/>
      <c r="S93" s="7" t="s">
        <v>39</v>
      </c>
    </row>
    <row r="94" spans="1:19" ht="70.2" customHeight="1" x14ac:dyDescent="0.3">
      <c r="A94" s="3" t="s">
        <v>732</v>
      </c>
      <c r="B94" s="3" t="s">
        <v>733</v>
      </c>
      <c r="C94" s="3" t="s">
        <v>1044</v>
      </c>
      <c r="D94" s="3"/>
      <c r="E94" s="3" t="s">
        <v>313</v>
      </c>
      <c r="F94" s="3" t="s">
        <v>316</v>
      </c>
      <c r="G94" s="3" t="s">
        <v>175</v>
      </c>
      <c r="H94" s="3" t="s">
        <v>765</v>
      </c>
      <c r="I94" s="4">
        <v>172253454</v>
      </c>
      <c r="J94" s="4">
        <v>0</v>
      </c>
      <c r="K94" s="4">
        <v>172253454</v>
      </c>
      <c r="L94" s="5">
        <v>45715</v>
      </c>
      <c r="M94" s="5"/>
      <c r="N94" s="5">
        <v>46008</v>
      </c>
      <c r="O94" s="5">
        <v>46014</v>
      </c>
      <c r="P94" s="4">
        <v>100</v>
      </c>
      <c r="Q94" s="4">
        <v>90</v>
      </c>
      <c r="R94" s="3"/>
      <c r="S94" s="7" t="s">
        <v>39</v>
      </c>
    </row>
    <row r="95" spans="1:19" ht="70.2" customHeight="1" x14ac:dyDescent="0.3">
      <c r="A95" s="3" t="s">
        <v>734</v>
      </c>
      <c r="B95" s="3" t="s">
        <v>735</v>
      </c>
      <c r="C95" s="3" t="s">
        <v>1045</v>
      </c>
      <c r="D95" s="3" t="s">
        <v>1046</v>
      </c>
      <c r="E95" s="3" t="s">
        <v>313</v>
      </c>
      <c r="F95" s="3" t="s">
        <v>316</v>
      </c>
      <c r="G95" s="3" t="s">
        <v>175</v>
      </c>
      <c r="H95" s="3" t="s">
        <v>770</v>
      </c>
      <c r="I95" s="4">
        <v>511865531</v>
      </c>
      <c r="J95" s="4">
        <v>200000000</v>
      </c>
      <c r="K95" s="4">
        <v>711865531</v>
      </c>
      <c r="L95" s="5">
        <v>45756</v>
      </c>
      <c r="M95" s="5"/>
      <c r="N95" s="5">
        <v>45775</v>
      </c>
      <c r="O95" s="5">
        <v>45922</v>
      </c>
      <c r="P95" s="4">
        <v>79.33</v>
      </c>
      <c r="Q95" s="4">
        <v>69.88</v>
      </c>
      <c r="R95" s="3"/>
      <c r="S95" s="7" t="s">
        <v>12</v>
      </c>
    </row>
    <row r="96" spans="1:19" ht="70.2" customHeight="1" x14ac:dyDescent="0.3">
      <c r="A96" s="3" t="s">
        <v>736</v>
      </c>
      <c r="B96" s="3" t="s">
        <v>737</v>
      </c>
      <c r="C96" s="3" t="s">
        <v>1047</v>
      </c>
      <c r="D96" s="3"/>
      <c r="E96" s="3" t="s">
        <v>382</v>
      </c>
      <c r="F96" s="3" t="s">
        <v>316</v>
      </c>
      <c r="G96" s="3" t="s">
        <v>447</v>
      </c>
      <c r="H96" s="3" t="s">
        <v>805</v>
      </c>
      <c r="I96" s="4">
        <v>386045990.94</v>
      </c>
      <c r="J96" s="4">
        <v>200000000.00000009</v>
      </c>
      <c r="K96" s="4">
        <v>586045990.94000006</v>
      </c>
      <c r="L96" s="5">
        <v>45917</v>
      </c>
      <c r="M96" s="5"/>
      <c r="N96" s="5">
        <v>45938</v>
      </c>
      <c r="O96" s="5"/>
      <c r="P96" s="4">
        <v>0</v>
      </c>
      <c r="Q96" s="4">
        <v>0</v>
      </c>
      <c r="R96" s="3"/>
      <c r="S96" s="7" t="s">
        <v>9</v>
      </c>
    </row>
    <row r="97" spans="1:19" ht="70.2" customHeight="1" x14ac:dyDescent="0.3">
      <c r="A97" s="3" t="s">
        <v>738</v>
      </c>
      <c r="B97" s="3" t="s">
        <v>739</v>
      </c>
      <c r="C97" s="3" t="s">
        <v>1048</v>
      </c>
      <c r="D97" s="3" t="s">
        <v>1049</v>
      </c>
      <c r="E97" s="3" t="s">
        <v>183</v>
      </c>
      <c r="F97" s="3" t="s">
        <v>186</v>
      </c>
      <c r="G97" s="3" t="s">
        <v>175</v>
      </c>
      <c r="H97" s="3" t="s">
        <v>765</v>
      </c>
      <c r="I97" s="4">
        <v>59900815918</v>
      </c>
      <c r="J97" s="4">
        <v>0</v>
      </c>
      <c r="K97" s="4">
        <v>59900815918</v>
      </c>
      <c r="L97" s="5">
        <v>45911</v>
      </c>
      <c r="M97" s="5"/>
      <c r="N97" s="5">
        <v>45922</v>
      </c>
      <c r="O97" s="5">
        <v>45974</v>
      </c>
      <c r="P97" s="4">
        <v>0.39</v>
      </c>
      <c r="Q97" s="4">
        <v>24.54</v>
      </c>
      <c r="R97" s="3"/>
      <c r="S97" s="7" t="s">
        <v>5</v>
      </c>
    </row>
    <row r="98" spans="1:19" ht="70.2" customHeight="1" x14ac:dyDescent="0.3">
      <c r="A98" s="3" t="s">
        <v>740</v>
      </c>
      <c r="B98" s="3" t="s">
        <v>623</v>
      </c>
      <c r="C98" s="3" t="s">
        <v>1050</v>
      </c>
      <c r="D98" s="3" t="s">
        <v>1051</v>
      </c>
      <c r="E98" s="3" t="s">
        <v>461</v>
      </c>
      <c r="F98" s="3" t="s">
        <v>1052</v>
      </c>
      <c r="G98" s="3" t="s">
        <v>175</v>
      </c>
      <c r="H98" s="3" t="s">
        <v>765</v>
      </c>
      <c r="I98" s="4">
        <v>28121067144</v>
      </c>
      <c r="J98" s="4">
        <v>142000000</v>
      </c>
      <c r="K98" s="4">
        <v>28263067144</v>
      </c>
      <c r="L98" s="5">
        <v>45861</v>
      </c>
      <c r="M98" s="5"/>
      <c r="N98" s="5">
        <v>45882</v>
      </c>
      <c r="O98" s="5">
        <v>45926</v>
      </c>
      <c r="P98" s="4">
        <v>7.97</v>
      </c>
      <c r="Q98" s="4">
        <v>27.96</v>
      </c>
      <c r="R98" s="3"/>
      <c r="S98" s="7" t="s">
        <v>1053</v>
      </c>
    </row>
    <row r="99" spans="1:19" ht="70.2" customHeight="1" x14ac:dyDescent="0.3">
      <c r="A99" s="3" t="s">
        <v>741</v>
      </c>
      <c r="B99" s="3" t="s">
        <v>654</v>
      </c>
      <c r="C99" s="3" t="s">
        <v>1054</v>
      </c>
      <c r="D99" s="3" t="s">
        <v>1055</v>
      </c>
      <c r="E99" s="3" t="s">
        <v>156</v>
      </c>
      <c r="F99" s="3" t="s">
        <v>197</v>
      </c>
      <c r="G99" s="3" t="s">
        <v>308</v>
      </c>
      <c r="H99" s="3" t="s">
        <v>809</v>
      </c>
      <c r="I99" s="4">
        <v>1989520159</v>
      </c>
      <c r="J99" s="4">
        <v>835888647</v>
      </c>
      <c r="K99" s="4">
        <v>2825408806</v>
      </c>
      <c r="L99" s="5">
        <v>44078</v>
      </c>
      <c r="M99" s="5"/>
      <c r="N99" s="5">
        <v>44176</v>
      </c>
      <c r="O99" s="5"/>
      <c r="P99" s="4">
        <v>98.57</v>
      </c>
      <c r="Q99" s="4">
        <v>98.93</v>
      </c>
      <c r="R99" s="3"/>
      <c r="S99" s="7" t="s">
        <v>1056</v>
      </c>
    </row>
    <row r="100" spans="1:19" ht="70.2" customHeight="1" x14ac:dyDescent="0.3">
      <c r="A100" s="3" t="s">
        <v>742</v>
      </c>
      <c r="B100" s="3" t="s">
        <v>743</v>
      </c>
      <c r="C100" s="3" t="s">
        <v>1057</v>
      </c>
      <c r="D100" s="3" t="s">
        <v>1058</v>
      </c>
      <c r="E100" s="3" t="s">
        <v>156</v>
      </c>
      <c r="F100" s="3" t="s">
        <v>197</v>
      </c>
      <c r="G100" s="3" t="s">
        <v>308</v>
      </c>
      <c r="H100" s="3" t="s">
        <v>809</v>
      </c>
      <c r="I100" s="4">
        <v>4869404585</v>
      </c>
      <c r="J100" s="4">
        <v>170383404</v>
      </c>
      <c r="K100" s="4">
        <v>5039787989</v>
      </c>
      <c r="L100" s="5">
        <v>44384</v>
      </c>
      <c r="M100" s="5"/>
      <c r="N100" s="5">
        <v>44407</v>
      </c>
      <c r="O100" s="5">
        <v>44560</v>
      </c>
      <c r="P100" s="4">
        <v>100</v>
      </c>
      <c r="Q100" s="4">
        <v>99.22</v>
      </c>
      <c r="R100" s="3"/>
      <c r="S100" s="7" t="s">
        <v>39</v>
      </c>
    </row>
    <row r="101" spans="1:19" ht="70.2" customHeight="1" x14ac:dyDescent="0.3">
      <c r="A101" s="3" t="s">
        <v>744</v>
      </c>
      <c r="B101" s="3" t="s">
        <v>613</v>
      </c>
      <c r="C101" s="3" t="s">
        <v>1059</v>
      </c>
      <c r="D101" s="3" t="s">
        <v>1060</v>
      </c>
      <c r="E101" s="3" t="s">
        <v>183</v>
      </c>
      <c r="F101" s="3" t="s">
        <v>1061</v>
      </c>
      <c r="G101" s="3" t="s">
        <v>308</v>
      </c>
      <c r="H101" s="3" t="s">
        <v>809</v>
      </c>
      <c r="I101" s="4">
        <v>2644584337.2600002</v>
      </c>
      <c r="J101" s="4">
        <v>0</v>
      </c>
      <c r="K101" s="4">
        <v>2644584337.2600002</v>
      </c>
      <c r="L101" s="5">
        <v>44456</v>
      </c>
      <c r="M101" s="5"/>
      <c r="N101" s="5">
        <v>44489</v>
      </c>
      <c r="O101" s="5">
        <v>44859</v>
      </c>
      <c r="P101" s="4">
        <v>100</v>
      </c>
      <c r="Q101" s="4">
        <v>99.98</v>
      </c>
      <c r="R101" s="3"/>
      <c r="S101" s="7" t="s">
        <v>6</v>
      </c>
    </row>
    <row r="102" spans="1:19" ht="70.2" customHeight="1" x14ac:dyDescent="0.3">
      <c r="A102" s="3" t="s">
        <v>745</v>
      </c>
      <c r="B102" s="3" t="s">
        <v>596</v>
      </c>
      <c r="C102" s="3" t="s">
        <v>1062</v>
      </c>
      <c r="D102" s="3" t="s">
        <v>1063</v>
      </c>
      <c r="E102" s="3" t="s">
        <v>183</v>
      </c>
      <c r="F102" s="3" t="s">
        <v>1064</v>
      </c>
      <c r="G102" s="3" t="s">
        <v>308</v>
      </c>
      <c r="H102" s="3" t="s">
        <v>809</v>
      </c>
      <c r="I102" s="4">
        <v>6578630543.6700001</v>
      </c>
      <c r="J102" s="4">
        <v>0</v>
      </c>
      <c r="K102" s="4">
        <v>6578630543.6700001</v>
      </c>
      <c r="L102" s="5">
        <v>44559</v>
      </c>
      <c r="M102" s="5"/>
      <c r="N102" s="5">
        <v>44566</v>
      </c>
      <c r="O102" s="5">
        <v>44697</v>
      </c>
      <c r="P102" s="4">
        <v>100</v>
      </c>
      <c r="Q102" s="4">
        <v>100</v>
      </c>
      <c r="R102" s="3"/>
      <c r="S102" s="7" t="s">
        <v>15</v>
      </c>
    </row>
    <row r="103" spans="1:19" ht="70.2" customHeight="1" x14ac:dyDescent="0.3">
      <c r="A103" s="3" t="s">
        <v>746</v>
      </c>
      <c r="B103" s="3" t="s">
        <v>735</v>
      </c>
      <c r="C103" s="3" t="s">
        <v>1065</v>
      </c>
      <c r="D103" s="3" t="s">
        <v>1066</v>
      </c>
      <c r="E103" s="3" t="s">
        <v>183</v>
      </c>
      <c r="F103" s="3" t="s">
        <v>186</v>
      </c>
      <c r="G103" s="3" t="s">
        <v>308</v>
      </c>
      <c r="H103" s="3" t="s">
        <v>809</v>
      </c>
      <c r="I103" s="4">
        <v>6853127845.6300001</v>
      </c>
      <c r="J103" s="4">
        <v>0</v>
      </c>
      <c r="K103" s="4">
        <v>6853127845.6300001</v>
      </c>
      <c r="L103" s="5">
        <v>45216</v>
      </c>
      <c r="M103" s="5"/>
      <c r="N103" s="5">
        <v>45219</v>
      </c>
      <c r="O103" s="5">
        <v>45286</v>
      </c>
      <c r="P103" s="4">
        <v>100</v>
      </c>
      <c r="Q103" s="4">
        <v>99.99</v>
      </c>
      <c r="R103" s="3"/>
      <c r="S103" s="7" t="s">
        <v>12</v>
      </c>
    </row>
    <row r="104" spans="1:19" ht="70.2" customHeight="1" x14ac:dyDescent="0.3">
      <c r="A104" s="3" t="s">
        <v>747</v>
      </c>
      <c r="B104" s="3" t="s">
        <v>739</v>
      </c>
      <c r="C104" s="3" t="s">
        <v>1067</v>
      </c>
      <c r="D104" s="3"/>
      <c r="E104" s="3" t="s">
        <v>183</v>
      </c>
      <c r="F104" s="3" t="s">
        <v>1068</v>
      </c>
      <c r="G104" s="3" t="s">
        <v>748</v>
      </c>
      <c r="H104" s="3" t="s">
        <v>805</v>
      </c>
      <c r="I104" s="4">
        <v>36139210439</v>
      </c>
      <c r="J104" s="4">
        <v>0</v>
      </c>
      <c r="K104" s="4">
        <v>36139210439</v>
      </c>
      <c r="L104" s="5">
        <v>46080</v>
      </c>
      <c r="M104" s="5"/>
      <c r="N104" s="5">
        <v>46091</v>
      </c>
      <c r="O104" s="5"/>
      <c r="P104" s="4">
        <v>0</v>
      </c>
      <c r="Q104" s="4">
        <v>0</v>
      </c>
      <c r="R104" s="3"/>
      <c r="S104" s="7" t="s">
        <v>6</v>
      </c>
    </row>
  </sheetData>
  <mergeCells count="1">
    <mergeCell ref="A1:R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898CCD-AE0E-4187-8A1B-FE06214267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862E6B-081C-4342-B56B-50B245C893E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F8375F1-E5BC-404D-A299-BBBC9823C4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ListadoMunicipios</vt:lpstr>
      <vt:lpstr>Ajustes</vt:lpstr>
      <vt:lpstr>MatrizSeguimientoEvaluacion</vt:lpstr>
      <vt:lpstr>BPINes</vt:lpstr>
      <vt:lpstr>OtrosEjecutoresDescentralizadas</vt:lpstr>
      <vt:lpstr>OtrosEjecutoresMunicipios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Indicadores</cp:lastModifiedBy>
  <cp:revision/>
  <dcterms:created xsi:type="dcterms:W3CDTF">2026-05-26T04:35:45Z</dcterms:created>
  <dcterms:modified xsi:type="dcterms:W3CDTF">2026-06-05T18:30:58Z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